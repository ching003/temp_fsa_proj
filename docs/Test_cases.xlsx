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Requirements" sheetId="2" r:id="rId6"/>
  </sheets>
  <definedNames/>
  <calcPr/>
</workbook>
</file>

<file path=xl/sharedStrings.xml><?xml version="1.0" encoding="utf-8"?>
<sst xmlns="http://schemas.openxmlformats.org/spreadsheetml/2006/main" count="398" uniqueCount="322">
  <si>
    <t>ĐẶC TẢ YÊU CẦU HỆ THỐNG - TEMPERATURE CONTROL SYSTEM SIMULATOR</t>
  </si>
  <si>
    <t>TEST CASES</t>
  </si>
  <si>
    <t>TỔNG TEST CASES</t>
  </si>
  <si>
    <t>TỔNG QUY CÁCH / YÊU CẦU</t>
  </si>
  <si>
    <t>ĐÃ ĐẠT (PASSED)</t>
  </si>
  <si>
    <t>THẤT BẠI (FAILED)</t>
  </si>
  <si>
    <t>CHỨC NĂNG BẮT BUỘC (MANDATORY)</t>
  </si>
  <si>
    <t>CHƯA KIỂM THỬ</t>
  </si>
  <si>
    <t>BỊ CHẶN (BLOCKED)</t>
  </si>
  <si>
    <t>CHỨC NĂNG NÂNG CAO (OPTIONAL)</t>
  </si>
  <si>
    <t>TỶ LỆ ĐẠT (PASS RATE)</t>
  </si>
  <si>
    <t>KỸ THUẬT &amp; RÀNG BUỘC</t>
  </si>
  <si>
    <t>Đặc tả chi tiết toàn hệ thống</t>
  </si>
  <si>
    <t>9/9 Đã hoàn thành (100%)</t>
  </si>
  <si>
    <t>12 Kỹ thuật + 5 Ràng buộc</t>
  </si>
  <si>
    <t>Kịch bản kiểm thử chi tiết</t>
  </si>
  <si>
    <t>1. TỔNG QUAN &amp; KIẾN TRÚC HỆ THỐNG (SYSTEM OVERVIEW &amp; ARCHITECTURE)</t>
  </si>
  <si>
    <t>Vượt qua kiểm thử</t>
  </si>
  <si>
    <t>Cần sửa lỗi (Defect)</t>
  </si>
  <si>
    <t>Chờ thực thi kịch bản</t>
  </si>
  <si>
    <t>Phụ thuộc lỗi khác</t>
  </si>
  <si>
    <t>Mục tiêu &amp; Phạm vi</t>
  </si>
  <si>
    <t>Xây dựng chương trình C++ mô phỏng hệ thống giám sát nhiệt độ phòng máy. Cảm biến nhiệt độ được giả lập bằng phần mềm. Controller đọc nhiệt độ và quyết định trạng thái của quạt và cảnh báo.</t>
  </si>
  <si>
    <t>Mô hình kiến trúc</t>
  </si>
  <si>
    <t>TemperatureSensor  ➔  TemperatureController  ➔  Fan / Alarm  ➔  Display / Logger</t>
  </si>
  <si>
    <t>2. YÊU CẦU CHỨC NĂNG BẮT BUỘC (MANDATORY)</t>
  </si>
  <si>
    <t>ID</t>
  </si>
  <si>
    <t>Yêu Cầu (Requirement)</t>
  </si>
  <si>
    <t>Mô Tả Chi Tiết (Detailed Description)</t>
  </si>
  <si>
    <t>Module Phụ Trách</t>
  </si>
  <si>
    <t>Trạng Thái</t>
  </si>
  <si>
    <t>TC-01</t>
  </si>
  <si>
    <t>AUTO / MANUAL mode</t>
  </si>
  <si>
    <t>AUTO: chương trình tự sinh nhiệt độ ngẫu nhiên. MANUAL: người dùng nhập nhiệt độ từ bàn phím</t>
  </si>
  <si>
    <t>TemperatureSensor</t>
  </si>
  <si>
    <t>TC-02</t>
  </si>
  <si>
    <t>Test Case ID</t>
  </si>
  <si>
    <t>Khoảng nhiệt độ hợp lệ</t>
  </si>
  <si>
    <t>Quy định khoảng hợp lệ: 0–60°C</t>
  </si>
  <si>
    <t>TemperatureController</t>
  </si>
  <si>
    <t>Module / Phân hệ</t>
  </si>
  <si>
    <t>TC-03</t>
  </si>
  <si>
    <t>Nhiệt độ &lt; 30°C</t>
  </si>
  <si>
    <t>Fan OFF, Alarm OFF → Trạng thái NORMAL</t>
  </si>
  <si>
    <t>Controller / Actuator</t>
  </si>
  <si>
    <t>Mã Yêu Cầu</t>
  </si>
  <si>
    <t>TC-04</t>
  </si>
  <si>
    <t>Nhiệt độ 30–39°C</t>
  </si>
  <si>
    <t>Fan ON, Alarm OFF → Trạng thái WARNING</t>
  </si>
  <si>
    <t>Kịch Bản Kiểm Thử (Test Scenario)</t>
  </si>
  <si>
    <t>Điều Kiện Tiên Quyết</t>
  </si>
  <si>
    <t>TC-05</t>
  </si>
  <si>
    <t>Nhiệt độ ≥ 40°C</t>
  </si>
  <si>
    <t>Fan ON, Alarm ON, hiển thị cảnh báo → Trạng thái CRITICAL</t>
  </si>
  <si>
    <t>Các Bước Thực Hiện</t>
  </si>
  <si>
    <t>Dữ Liệu Đầu Vào</t>
  </si>
  <si>
    <t>TC-06</t>
  </si>
  <si>
    <t>Hiển thị trạng thái</t>
  </si>
  <si>
    <t>Kết Quả Mong Đợi (Expected Result)</t>
  </si>
  <si>
    <t>Hiển thị Temperature, Fan, Alarm và trạng thái hệ thống trên console</t>
  </si>
  <si>
    <t>Display</t>
  </si>
  <si>
    <t>Kết Quả Thực Tế</t>
  </si>
  <si>
    <t>TC-07</t>
  </si>
  <si>
    <t>Chu kỳ 1 giây</t>
  </si>
  <si>
    <t>Hệ thống chạy theo Super-Loop, 1 giây/chu kỳ</t>
  </si>
  <si>
    <t>System Core / Loop</t>
  </si>
  <si>
    <t>TC-08</t>
  </si>
  <si>
    <t>Phát hiện dữ liệu lỗi</t>
  </si>
  <si>
    <t>Dữ liệu sensor ngoài [0, 60]°C phải được phát hiện và không xử lý như bình thường</t>
  </si>
  <si>
    <t>TC-09</t>
  </si>
  <si>
    <t>Ghi log</t>
  </si>
  <si>
    <t>Ghi giá trị nhiệt độ, thay đổi trạng thái và lỗi vào system.log</t>
  </si>
  <si>
    <t>Logger</t>
  </si>
  <si>
    <t>TC-01.1</t>
  </si>
  <si>
    <t>3. YÊU CẦU TÍNH NĂNG NÂNG CAO (OPTIONAL)</t>
  </si>
  <si>
    <t>Yêu Cầu Nâng Cao (Optional)</t>
  </si>
  <si>
    <t>TC-A01</t>
  </si>
  <si>
    <t>Kiểm tra chế độ tự động sinh nhiệt độ (AUTO mode)</t>
  </si>
  <si>
    <t>Cấu hình threshold</t>
  </si>
  <si>
    <t>Cho phép thay đổi ngưỡng Fan (30°C), Alarm (40°C) trước khi chạy</t>
  </si>
  <si>
    <t>Hệ thống đã khởi động, cấu hình chế độ AUTO</t>
  </si>
  <si>
    <t>TC-A02</t>
  </si>
  <si>
    <t>Trạng thái chi tiết</t>
  </si>
  <si>
    <t>Thêm NORMAL / WARNING / CRITICAL / SENSOR_ERROR / FAILSAFE</t>
  </si>
  <si>
    <t>1. Chọn chế độ AUTO
2. Chờ 3 chu kỳ đọc dữ liệu
3. Quan sát nhiệt độ sinh ra</t>
  </si>
  <si>
    <t>Mode = AUTO</t>
  </si>
  <si>
    <t>TC-A03</t>
  </si>
  <si>
    <t>Thống kê min/max/avg</t>
  </si>
  <si>
    <t>Nhiệt độ được tự động sinh ngẫu nhiên liên tục trong khoảng [0, 60]°C</t>
  </si>
  <si>
    <t>Tính nhiệt độ nhỏ nhất, lớn nhất, trung bình (running statistics)</t>
  </si>
  <si>
    <t>TemperatureStats</t>
  </si>
  <si>
    <t>Hệ thống sinh nhiệt độ ngẫu nhiên từ 25°C đến 56°C</t>
  </si>
  <si>
    <t>TC-A04</t>
  </si>
  <si>
    <t>Random sensor failure</t>
  </si>
  <si>
    <t>Sinh giá trị lỗi ngẫu nhiên (-999 hoặc 120) với xác suất 5%</t>
  </si>
  <si>
    <t>TC-A05</t>
  </si>
  <si>
    <t>Failsafe 2 cấp</t>
  </si>
  <si>
    <t>Transient (1-3 chu kỳ): giữ state cũ. Persistent (&gt;3 chu kỳ): Fan ON + Alarm ON</t>
  </si>
  <si>
    <t>TC-A06</t>
  </si>
  <si>
    <t>Sensor recovery</t>
  </si>
  <si>
    <t>Phát hiện và log khi sensor phục hồi từ trạng thái lỗi</t>
  </si>
  <si>
    <t>TC-A07</t>
  </si>
  <si>
    <t>Edge-triggered actuator</t>
  </si>
  <si>
    <t>Chỉ log khi Fan/Alarm thực sự thay đổi trạng thái</t>
  </si>
  <si>
    <t>TC-A08</t>
  </si>
  <si>
    <t>Split-screen UI</t>
  </si>
  <si>
    <t>Dashboard auto-refresh + Input zone cố định (không bị ghi đè)</t>
  </si>
  <si>
    <t>TC-A09</t>
  </si>
  <si>
    <t>Thread-safe input</t>
  </si>
  <si>
    <t>2 thread: Main loop + Input thread, mutex-protected shared data</t>
  </si>
  <si>
    <t>System Core / Thread</t>
  </si>
  <si>
    <t>Passed</t>
  </si>
  <si>
    <t>4. TIÊU CHUẨN YÊU CẦU KỸ THUẬT (TECHNICAL SPECIFICATIONS)</t>
  </si>
  <si>
    <t>Mã KT</t>
  </si>
  <si>
    <t>Hạng Mục (Category)</t>
  </si>
  <si>
    <t>Tiêu Chuẩn Yêu Cầu (Requirement)</t>
  </si>
  <si>
    <t>Chi Tiết Triển Khai (Implementation Details)</t>
  </si>
  <si>
    <t>TECH-01</t>
  </si>
  <si>
    <t>Ngôn ngữ</t>
  </si>
  <si>
    <t>C++17</t>
  </si>
  <si>
    <t>std::optional, structured bindings, if constexpr</t>
  </si>
  <si>
    <t>TECH-02</t>
  </si>
  <si>
    <t>Console</t>
  </si>
  <si>
    <t>Bắt buộc</t>
  </si>
  <si>
    <t>ANSI escape codes cho split-screen</t>
  </si>
  <si>
    <t>TECH-03</t>
  </si>
  <si>
    <t>Hardware</t>
  </si>
  <si>
    <t>Không sử dụng</t>
  </si>
  <si>
    <t>Mọi thứ giả lập bằng phần mềm</t>
  </si>
  <si>
    <t>TECH-04</t>
  </si>
  <si>
    <t>Sensor / Input</t>
  </si>
  <si>
    <t>Giả lập</t>
  </si>
  <si>
    <t>std::uniform_real_distribution + std::cin</t>
  </si>
  <si>
    <t>TECH-05</t>
  </si>
  <si>
    <t>Controller</t>
  </si>
  <si>
    <t>Tách riêng</t>
  </si>
  <si>
    <t>Class TemperatureController chứa toàn bộ logic</t>
  </si>
  <si>
    <t>TECH-06</t>
  </si>
  <si>
    <t>State</t>
  </si>
  <si>
    <t>TC-01.2</t>
  </si>
  <si>
    <t>enum class</t>
  </si>
  <si>
    <t>SystemStatus, DeviceState, Mode</t>
  </si>
  <si>
    <t>TECH-07</t>
  </si>
  <si>
    <t>Timing</t>
  </si>
  <si>
    <t>std::chrono</t>
  </si>
  <si>
    <t>std::this_thread::sleep_for(1s)</t>
  </si>
  <si>
    <t>TECH-08</t>
  </si>
  <si>
    <t>Data Structure</t>
  </si>
  <si>
    <t>Running stats</t>
  </si>
  <si>
    <t>TemperatureStats struct (min/max/sum/count)</t>
  </si>
  <si>
    <t>TECH-09</t>
  </si>
  <si>
    <t>File I/O</t>
  </si>
  <si>
    <t>std::ofstream</t>
  </si>
  <si>
    <t>Append mode, flush sau mỗi lần ghi</t>
  </si>
  <si>
    <t>TECH-10</t>
  </si>
  <si>
    <t>Kiểm tra chế độ người dùng nhập nhiệt độ (MANUAL mode)</t>
  </si>
  <si>
    <t>Error handling</t>
  </si>
  <si>
    <t>2+ tình huống</t>
  </si>
  <si>
    <t>Sensor error + input validation + failsafe</t>
  </si>
  <si>
    <t>TECH-11</t>
  </si>
  <si>
    <t>Hệ thống ở chế độ MANUAL, sẵn sàng nhận input</t>
  </si>
  <si>
    <t>Threading</t>
  </si>
  <si>
    <t>std::thread</t>
  </si>
  <si>
    <t>Input thread + std::mutex + std::atomic</t>
  </si>
  <si>
    <t>1. Chọn chế độ MANUAL
2. Nhập nhiệt độ từ bàn phím
3. Nhấn xác nhận</t>
  </si>
  <si>
    <t>Mode = MANUAL; Input = 25</t>
  </si>
  <si>
    <t>TECH-12</t>
  </si>
  <si>
    <t xml:space="preserve">Nhận chính xác giá trị 25°C </t>
  </si>
  <si>
    <t>Nhận đúng 25°C</t>
  </si>
  <si>
    <t>Source</t>
  </si>
  <si>
    <t>Tách .h / .cpp</t>
  </si>
  <si>
    <t>8 header files + 8 source files</t>
  </si>
  <si>
    <t>5. CÁC RÀNG BUỘC HỆ THỐNG (SYSTEM CONSTRAINTS)</t>
  </si>
  <si>
    <t>Mã RB</t>
  </si>
  <si>
    <t>Phạm Vi Ràng Buộc (Scope)</t>
  </si>
  <si>
    <t>Nội Dung Ràng Buộc (Constraint Description)</t>
  </si>
  <si>
    <t>Mục Tiêu &amp; Tiêu Chí Đánh Giá (Compliance Criteria)</t>
  </si>
  <si>
    <t>TC-02.1</t>
  </si>
  <si>
    <t>CON-01</t>
  </si>
  <si>
    <t>Giao diện &amp; Kết nối</t>
  </si>
  <si>
    <t>Không sử dụng GUI, database, network, Web API</t>
  </si>
  <si>
    <t>Chỉ tương tác qua Console CLI thuần túy</t>
  </si>
  <si>
    <t>CON-02</t>
  </si>
  <si>
    <t>Phần cứng</t>
  </si>
  <si>
    <t>Kiểm thử giá trị biên dưới hợp lệ (0°C)</t>
  </si>
  <si>
    <t>Không sử dụng Arduino, ESP32, cảm biến hay thiết bị vật lý</t>
  </si>
  <si>
    <t>Chế độ MANUAL kích hoạt</t>
  </si>
  <si>
    <t>Mô phỏng 100% bằng phần mềm</t>
  </si>
  <si>
    <t>CON-03</t>
  </si>
  <si>
    <t>1. Nhập nhiệt độ bằng 0
2. Kiểm tra cờ dữ liệu hợp lệ</t>
  </si>
  <si>
    <t>Thư viện phụ thuộc</t>
  </si>
  <si>
    <t>Không sử dụng external library (chỉ C++ Standard Library)</t>
  </si>
  <si>
    <t>Temperature = 0°C</t>
  </si>
  <si>
    <t>Không phụ thuộc thư viện bên ngoài (Zero-dependency)</t>
  </si>
  <si>
    <t>CON-04</t>
  </si>
  <si>
    <t>Dữ liệu hợp lệ, hệ thống xử lý bình thường, không báo lỗi biên</t>
  </si>
  <si>
    <t>Tính ổn định</t>
  </si>
  <si>
    <t>Hệ thống chấp nhận 0°C là hợp lệ</t>
  </si>
  <si>
    <t>Chương trình không được crash trong các test case bắt buộc</t>
  </si>
  <si>
    <t>Xử lý ngoại lệ toàn diện, độ ổn định 100%</t>
  </si>
  <si>
    <t>Failed</t>
  </si>
  <si>
    <t>CON-05</t>
  </si>
  <si>
    <t>Tiêu chuẩn mã nguồn</t>
  </si>
  <si>
    <t>Threshold/duration dùng constant/config, không magic number</t>
  </si>
  <si>
    <t>Khai báo hằng số rõ ràng, dễ bảo trì</t>
  </si>
  <si>
    <t>TC-02.2</t>
  </si>
  <si>
    <t>Kiểm thử giá trị biên trên hợp lệ (60°C)</t>
  </si>
  <si>
    <t>1. Nhập nhiệt độ bằng 60
2. Kiểm tra cờ dữ liệu hợp lệ</t>
  </si>
  <si>
    <t>Temperature = 60°C</t>
  </si>
  <si>
    <t>Dữ liệu hợp lệ, hệ thống kích hoạt bảo vệ quá nhiệt (Fan/Alarm ON)</t>
  </si>
  <si>
    <t>Hệ thống chấp nhận 60°C, Fan ON, Alarm ON</t>
  </si>
  <si>
    <t>TC-02.3</t>
  </si>
  <si>
    <t>TC-02, TC-08</t>
  </si>
  <si>
    <t>Kiểm thử giá trị âm ngoài dải đo (&lt; 0°C)</t>
  </si>
  <si>
    <t>1. Nhập nhiệt độ âm (-5°C)
2. Quan sát phản hồi controller</t>
  </si>
  <si>
    <t>Temperature = -5°C</t>
  </si>
  <si>
    <t>Phát hiện giá trị không hợp lệ; Báo lỗi SENSOR ERROR; không điều khiển Fan/Alarm</t>
  </si>
  <si>
    <t>Hiển thị thông báo SENSOR ERROR, giữ trạng thái an toàn</t>
  </si>
  <si>
    <t>TC-02.4</t>
  </si>
  <si>
    <t>Kiểm thử giá trị vượt ngưỡng ngoài dải (&gt; 60°C)</t>
  </si>
  <si>
    <t>1. Nhập nhiệt độ 65°C
2. Quan sát phản hồi controller</t>
  </si>
  <si>
    <t>Temperature = 65°C</t>
  </si>
  <si>
    <t>Phát hiện vượt ngưỡng; Báo lỗi SENSOR ERROR; không ghi đè lệnh điều khiển</t>
  </si>
  <si>
    <t>Hiển thị SENSOR ERROR</t>
  </si>
  <si>
    <t>TC-03.1</t>
  </si>
  <si>
    <t>TC-03, T1</t>
  </si>
  <si>
    <t>Nhiệt độ thấp dưới 30°C: T1 (25°C)</t>
  </si>
  <si>
    <t>Thiết bị đang chạy bình thường</t>
  </si>
  <si>
    <t>1. Cung cấp nhiệt độ 25°C
2. Kiểm tra trạng thái Fan và Alarm</t>
  </si>
  <si>
    <t>Temperature = 25°C</t>
  </si>
  <si>
    <t>Fan = OFF, Alarm = OFF, System = RUNNING</t>
  </si>
  <si>
    <t>Fan: OFF, Alarm: OFF, System: RUNNING</t>
  </si>
  <si>
    <t>TC-03.2</t>
  </si>
  <si>
    <t>Cận biên dưới ngưỡng chuyển mức (29°C)</t>
  </si>
  <si>
    <t>1. Cung cấp nhiệt độ 29°C
2. Kiểm tra trạng thái Fan và Alarm</t>
  </si>
  <si>
    <t>Temperature = 29°C</t>
  </si>
  <si>
    <t>Fan = OFF, Alarm = OFF; Quạt chưa được kích hoạt</t>
  </si>
  <si>
    <t>Fan: OFF, Alarm: OFF</t>
  </si>
  <si>
    <t>TC-04.1</t>
  </si>
  <si>
    <t>Cận biên kích hoạt quạt làm mát (30°C)</t>
  </si>
  <si>
    <t>Thiết bị ở nhiệt độ phòng 28°C</t>
  </si>
  <si>
    <t>1. Tăng nhiệt độ lên đúng 30°C
2. Quan sát trạng thái Fan và Alarm</t>
  </si>
  <si>
    <t>Temperature = 30°C</t>
  </si>
  <si>
    <t>Fan = ON, Alarm = OFF; Quạt bật ngay tại 30°C</t>
  </si>
  <si>
    <t>Fan: ON, Alarm: OFF</t>
  </si>
  <si>
    <t>TC-04.2</t>
  </si>
  <si>
    <t>TC-04, T2</t>
  </si>
  <si>
    <t>Nhiệt độ mức trung bình: T2 (35°C)</t>
  </si>
  <si>
    <t>1. Cung cấp nhiệt độ 35°C
2. Đọc trạng thái Actuator</t>
  </si>
  <si>
    <t>Temperature = 35°C</t>
  </si>
  <si>
    <t xml:space="preserve">Fan = ON, Alarm = OFF, </t>
  </si>
  <si>
    <t>TC-04.3</t>
  </si>
  <si>
    <t>Cận biên trên khoảng quạt chạy không chuông (39°C)</t>
  </si>
  <si>
    <t>1. Cung cấp nhiệt độ 39°C
2. Kiểm tra Fan và Alarm</t>
  </si>
  <si>
    <t>Temperature = 39°C</t>
  </si>
  <si>
    <t>Fan = ON, Alarm = OFF; Chuông báo vẫn giữ trạng thái ngắt</t>
  </si>
  <si>
    <t>TC-05.1</t>
  </si>
  <si>
    <t>Cận biên kích hoạt cảnh báo nguy hiểm (40°C)</t>
  </si>
  <si>
    <t>Thiết bị đang ở mức 38°C</t>
  </si>
  <si>
    <t>1. Tăng nhiệt độ lên 40°C
2. Kiểm tra Fan, Alarm và thông báo</t>
  </si>
  <si>
    <t>Temperature = 40°C</t>
  </si>
  <si>
    <t>Fan = ON, Alarm = ON; Xuất hiện thông báo cảnh báo nguy cơ quá nhiệt</t>
  </si>
  <si>
    <t>Fan: ON, Alarm: ON, Alert hiển thị</t>
  </si>
  <si>
    <t>TC-05.2</t>
  </si>
  <si>
    <t>TC-05, T3</t>
  </si>
  <si>
    <t>Nhiệt độ cao mức nguy hiểm: T3 (45°C)</t>
  </si>
  <si>
    <t>1. Cung cấp nhiệt độ 45°C
2. Quan sát toàn bộ màn hình và rơ le</t>
  </si>
  <si>
    <t>Temperature = 45°C</t>
  </si>
  <si>
    <t>Fan = ON, Alarm = ON; Cảnh báo quá nhiệt hiển thị rõ ràng</t>
  </si>
  <si>
    <t>Fan: ON, Alarm: ON, Alert message active</t>
  </si>
  <si>
    <t>TC-06.1</t>
  </si>
  <si>
    <t>Hiển thị bảng điều khiển Console chuẩn 4 trường</t>
  </si>
  <si>
    <t>Controller phát tín hiệu hiển thị</t>
  </si>
  <si>
    <t>1. Chạy chu kỳ hiển thị tại 37°C
2. Đối soát với mẫu</t>
  </si>
  <si>
    <t>Temperature = 37°C; Fan = ON; Alarm = OFF</t>
  </si>
  <si>
    <t>Màn hình in đúng format: Temperature: 37 C, Fan: ON, Alarm: OFF, Status:  Warning</t>
  </si>
  <si>
    <t>Format hiển thị đúng  mẫu</t>
  </si>
  <si>
    <t>TC-06.2</t>
  </si>
  <si>
    <t>TC-06, TC-08</t>
  </si>
  <si>
    <t>Hiển thị cảnh báo màn hình khi phát hiện lỗi cảm biến</t>
  </si>
  <si>
    <t>Cảm biến gửi mã tín hiệu không hợp lệ</t>
  </si>
  <si>
    <t>1. Tạo tín hiệu lỗi cảm biến
2. Quan sát khung hiển thị Console</t>
  </si>
  <si>
    <t>Error Code = SENSOR_ERROR</t>
  </si>
  <si>
    <t>System hiển thị: SENSOR ERROR; trường Fan và Alarm hiển thị trạng thái an toàn</t>
  </si>
  <si>
    <t>Màn hình hiển thị [SENSOR ERROR]</t>
  </si>
  <si>
    <t>TC-08.1</t>
  </si>
  <si>
    <t>TC-08, T4</t>
  </si>
  <si>
    <t>Dữ liệu cảm biến lỗi dạng chữ / ký tự đặc biệt: T4</t>
  </si>
  <si>
    <t>Chế độ MANUAL nhận input từ ngoài</t>
  </si>
  <si>
    <t>1. Nhập chuỗi 'abc#@!' thay vì số
2. Quan sát xử lý ngoại lệ</t>
  </si>
  <si>
    <t>Input = 'abc#@!'</t>
  </si>
  <si>
    <t>Bắt ngoại lệ ép kiểu NumberFormatException; Báo SENSOR ERROR; không đổi trạng thái</t>
  </si>
  <si>
    <t>Bắt ngoại lệ thành công, không crash hệ thống</t>
  </si>
  <si>
    <t>TC-08.2</t>
  </si>
  <si>
    <t>Dữ liệu cảm biến bị rỗng hoặc Null (Sensor Disconnected)</t>
  </si>
  <si>
    <t>Mô phỏng ngắt kết nối cảm biến</t>
  </si>
  <si>
    <t>1. Gửi giá trị null hoặc chuỗi rỗng
2. Kiểm tra cơ chế fail-safe</t>
  </si>
  <si>
    <t>Input = null / empty</t>
  </si>
  <si>
    <t>Hệ thống phát hiện thiếu dữ liệu, đưa cờ SENSOR ERROR; giữ quạt/chuông an toàn</t>
  </si>
  <si>
    <t>Hệ thống hiển thị input invalid, yêu cầu nhập số</t>
  </si>
  <si>
    <t>TC-09.1</t>
  </si>
  <si>
    <t>Ghi giá trị nhiệt độ và trạng thái định kỳ vào system.log</t>
  </si>
  <si>
    <t>Quyền ghi file log sẵn sàng</t>
  </si>
  <si>
    <t>1. Cho hệ thống chạy 3 chu kỳ
2. Mở file system.log kiểm tra nội dung</t>
  </si>
  <si>
    <t>Nhiệt độ 28°C, 35°C, 42°C</t>
  </si>
  <si>
    <t>Mỗi dòng log có timestamp, giá trị nhiệt độ và trạng thái Fan, Alarm, System</t>
  </si>
  <si>
    <t>Ghi log đầy đủ timestamp và trạng thái</t>
  </si>
  <si>
    <t>TC-09.2</t>
  </si>
  <si>
    <t>Ghi nhận sự kiện chuyển trạng thái và lỗi vào system.log</t>
  </si>
  <si>
    <t>Hệ thống chuyển từ 29°C sang 41°C</t>
  </si>
  <si>
    <t>1. Thay đổi nhiệt độ vượt ngưỡng
2. Kiểm tra dòng log tương ứng</t>
  </si>
  <si>
    <t>Nhiệt độ: 29°C -&gt; 41°C</t>
  </si>
  <si>
    <t>Log ghi rõ: 'STATE CHANGE: Fan OFF-&gt;ON, Alarm OFF-&gt;ON' và các lỗi 'SENSOR ERROR'</t>
  </si>
  <si>
    <t>Ghi nhận chính xác sự kiện chuyển trạng thái</t>
  </si>
  <si>
    <t>TC-09.3</t>
  </si>
  <si>
    <t>TC-05, TC-03, T5</t>
  </si>
  <si>
    <t>Kịch bản phục hồi trạng thái: T5 (45°C → 28°C)</t>
  </si>
  <si>
    <t>Hệ thống đang ở trạng thái quá nhiệt 45°C (Fan ON, Alarm ON)</t>
  </si>
  <si>
    <t>1. Giảm nhiệt độ từ 45°C xuống 28°C
2. Quan sát phản ứng Fan và Alarm</t>
  </si>
  <si>
    <t>Nhiệt độ chuyển: 45°C → 28°C</t>
  </si>
  <si>
    <t>Fan và Alarm tự động tắt về trạng thái bình thường (Fan OFF, Alarm OFF) phù hợp; ghi log phục hồi</t>
  </si>
  <si>
    <t>Fan và Alarm tự động chuyển về OFF an toàn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</si>
</sst>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0.0"/>
      <color rgb="FF000000"/>
      <name val="Arial"/>
      <scheme val="minor"/>
    </font>
    <font>
      <b/>
      <sz val="13.0"/>
      <color rgb="FFFFFFFF"/>
      <name val="Arial"/>
      <scheme val="minor"/>
    </font>
    <font>
      <b/>
      <sz val="14.0"/>
      <color rgb="FFFFFFFF"/>
      <name val="Arial"/>
      <scheme val="minor"/>
    </font>
    <font>
      <b/>
      <sz val="9.0"/>
      <color rgb="FFFFFFFF"/>
      <name val="Arial"/>
      <scheme val="minor"/>
    </font>
    <font/>
    <font>
      <b/>
      <sz val="10.0"/>
      <color rgb="FFFFFFFF"/>
      <name val="Arial"/>
      <scheme val="minor"/>
    </font>
    <font>
      <b/>
      <sz val="16.0"/>
      <color rgb="FF191926"/>
      <name val="Arial"/>
      <scheme val="minor"/>
    </font>
    <font>
      <b/>
      <sz val="18.0"/>
      <color rgb="FF132D5C"/>
      <name val="Arial"/>
      <scheme val="minor"/>
    </font>
    <font>
      <i/>
      <sz val="9.0"/>
      <color rgb="FF596672"/>
      <name val="Arial"/>
      <scheme val="minor"/>
    </font>
    <font>
      <b/>
      <sz val="9.0"/>
      <color rgb="FF007233"/>
      <name val="Arial"/>
      <scheme val="minor"/>
    </font>
    <font>
      <sz val="8.0"/>
      <color rgb="FF63748A"/>
      <name val="Arial"/>
      <scheme val="minor"/>
    </font>
    <font>
      <b/>
      <sz val="11.0"/>
      <color rgb="FFFFFFFF"/>
      <name val="Arial"/>
      <scheme val="minor"/>
    </font>
    <font>
      <b/>
      <sz val="10.0"/>
      <color rgb="FF19263F"/>
      <name val="Arial"/>
      <scheme val="minor"/>
    </font>
    <font>
      <sz val="10.0"/>
      <color theme="1"/>
      <name val="Arial"/>
      <scheme val="minor"/>
    </font>
    <font>
      <b/>
      <sz val="10.0"/>
      <color rgb="FF143366"/>
      <name val="Arial"/>
      <scheme val="minor"/>
    </font>
    <font>
      <b/>
      <sz val="11.0"/>
      <color rgb="FF0F284F"/>
      <name val="Arial"/>
      <scheme val="minor"/>
    </font>
    <font>
      <b/>
      <color rgb="FF132D5C"/>
      <name val="Arial"/>
      <scheme val="minor"/>
    </font>
    <font>
      <b/>
      <color rgb="FF0C662D"/>
      <name val="Arial"/>
      <scheme val="minor"/>
    </font>
    <font>
      <sz val="10.0"/>
      <color theme="1"/>
      <name val="Roboto"/>
    </font>
  </fonts>
  <fills count="15">
    <fill>
      <patternFill patternType="none"/>
    </fill>
    <fill>
      <patternFill patternType="lightGray"/>
    </fill>
    <fill>
      <patternFill patternType="solid">
        <fgColor rgb="FF1E3989"/>
        <bgColor rgb="FF1E3989"/>
      </patternFill>
    </fill>
    <fill>
      <patternFill patternType="solid">
        <fgColor rgb="FF132D5C"/>
        <bgColor rgb="FF132D5C"/>
      </patternFill>
    </fill>
    <fill>
      <patternFill patternType="solid">
        <fgColor rgb="FF2A4364"/>
        <bgColor rgb="FF2A4364"/>
      </patternFill>
    </fill>
    <fill>
      <patternFill patternType="solid">
        <fgColor rgb="FF1E3E78"/>
        <bgColor rgb="FF1E3E78"/>
      </patternFill>
    </fill>
    <fill>
      <patternFill patternType="solid">
        <fgColor rgb="FFF8F9FB"/>
        <bgColor rgb="FFF8F9FB"/>
      </patternFill>
    </fill>
    <fill>
      <patternFill patternType="solid">
        <fgColor rgb="FFEFF4F9"/>
        <bgColor rgb="FFEFF4F9"/>
      </patternFill>
    </fill>
    <fill>
      <patternFill patternType="solid">
        <fgColor rgb="FFEBF0F8"/>
        <bgColor rgb="FFEBF0F8"/>
      </patternFill>
    </fill>
    <fill>
      <patternFill patternType="solid">
        <fgColor rgb="FFD8E2EF"/>
        <bgColor rgb="FFD8E2EF"/>
      </patternFill>
    </fill>
    <fill>
      <patternFill patternType="solid">
        <fgColor rgb="FF1B365D"/>
        <bgColor rgb="FF1B365D"/>
      </patternFill>
    </fill>
    <fill>
      <patternFill patternType="solid">
        <fgColor rgb="FFE6F4EA"/>
        <bgColor rgb="FFE6F4EA"/>
      </patternFill>
    </fill>
    <fill>
      <patternFill patternType="solid">
        <fgColor rgb="FFF6F8FC"/>
        <bgColor rgb="FFF6F8FC"/>
      </patternFill>
    </fill>
    <fill>
      <patternFill patternType="solid">
        <fgColor rgb="FFFFFFFF"/>
        <bgColor rgb="FFFFFFFF"/>
      </patternFill>
    </fill>
    <fill>
      <patternFill patternType="solid">
        <fgColor rgb="FFF6F8FB"/>
        <bgColor rgb="FFF6F8FB"/>
      </patternFill>
    </fill>
  </fills>
  <borders count="50">
    <border/>
    <border>
      <left style="medium">
        <color rgb="FF1C3866"/>
      </left>
      <top style="medium">
        <color rgb="FF1C3866"/>
      </top>
      <bottom style="thin">
        <color rgb="FFCCD6E2"/>
      </bottom>
    </border>
    <border>
      <left style="thin">
        <color rgb="FFCCD3E0"/>
      </left>
      <top style="thin">
        <color rgb="FFCCD3E0"/>
      </top>
    </border>
    <border>
      <top style="medium">
        <color rgb="FF1C3866"/>
      </top>
      <bottom style="thin">
        <color rgb="FFCCD6E2"/>
      </bottom>
    </border>
    <border>
      <right style="medium">
        <color rgb="FF1C3866"/>
      </right>
      <top style="medium">
        <color rgb="FF1C3866"/>
      </top>
      <bottom style="thin">
        <color rgb="FFCCD6E2"/>
      </bottom>
    </border>
    <border>
      <right style="thin">
        <color rgb="FFCCD3E0"/>
      </right>
      <top style="thin">
        <color rgb="FFCCD3E0"/>
      </top>
    </border>
    <border>
      <left style="medium">
        <color rgb="FF1C3866"/>
      </left>
      <top style="thin">
        <color rgb="FFCCD6E2"/>
      </top>
      <bottom style="thin">
        <color rgb="FFCCD6E2"/>
      </bottom>
    </border>
    <border>
      <right style="thin">
        <color rgb="FFCCD6E2"/>
      </right>
      <top style="thin">
        <color rgb="FFCCD6E2"/>
      </top>
      <bottom style="thin">
        <color rgb="FFCCD6E2"/>
      </bottom>
    </border>
    <border>
      <left style="thin">
        <color rgb="FFCCD6E2"/>
      </left>
      <top style="thin">
        <color rgb="FFCCD6E2"/>
      </top>
      <bottom style="thin">
        <color rgb="FFCCD6E2"/>
      </bottom>
    </border>
    <border>
      <right style="medium">
        <color rgb="FF1C3866"/>
      </right>
      <top style="thin">
        <color rgb="FFCCD6E2"/>
      </top>
      <bottom style="thin">
        <color rgb="FFCCD6E2"/>
      </bottom>
    </border>
    <border>
      <left style="thin">
        <color rgb="FFCCD3E0"/>
      </left>
    </border>
    <border>
      <right style="thin">
        <color rgb="FFCCD3E0"/>
      </right>
    </border>
    <border>
      <left style="medium">
        <color rgb="FF1C3866"/>
      </left>
      <top style="thin">
        <color rgb="FFCCD6E2"/>
      </top>
      <bottom style="medium">
        <color rgb="FF1C3866"/>
      </bottom>
    </border>
    <border>
      <right style="thin">
        <color rgb="FFCCD6E2"/>
      </right>
      <top style="thin">
        <color rgb="FFCCD6E2"/>
      </top>
      <bottom style="medium">
        <color rgb="FF1C3866"/>
      </bottom>
    </border>
    <border>
      <left style="thin">
        <color rgb="FFCCD6E2"/>
      </left>
      <top style="thin">
        <color rgb="FFCCD6E2"/>
      </top>
      <bottom style="medium">
        <color rgb="FF1C3866"/>
      </bottom>
    </border>
    <border>
      <right style="medium">
        <color rgb="FF1C3866"/>
      </right>
      <top style="thin">
        <color rgb="FFCCD6E2"/>
      </top>
      <bottom style="medium">
        <color rgb="FF1C3866"/>
      </bottom>
    </border>
    <border>
      <left style="thin">
        <color rgb="FFCCD3E0"/>
      </left>
      <bottom style="thin">
        <color rgb="FFCCD3E0"/>
      </bottom>
    </border>
    <border>
      <right style="thin">
        <color rgb="FFCCD3E0"/>
      </right>
      <bottom style="thin">
        <color rgb="FFCCD3E0"/>
      </bottom>
    </border>
    <border>
      <left style="thin">
        <color rgb="FFBFCCD8"/>
      </left>
      <top style="medium">
        <color rgb="FF1C3866"/>
      </top>
      <bottom style="thin">
        <color rgb="FFD8E0EA"/>
      </bottom>
    </border>
    <border>
      <top style="medium">
        <color rgb="FF1C3866"/>
      </top>
      <bottom style="thin">
        <color rgb="FFD8E0EA"/>
      </bottom>
    </border>
    <border>
      <right style="thin">
        <color rgb="FFBFCCD8"/>
      </right>
      <top style="medium">
        <color rgb="FF1C3866"/>
      </top>
      <bottom style="thin">
        <color rgb="FFD8E0EA"/>
      </bottom>
    </border>
    <border>
      <left style="thin">
        <color rgb="FFBFCCD8"/>
      </left>
      <right style="thin">
        <color rgb="FFD8E0EA"/>
      </right>
      <top style="thin">
        <color rgb="FFD8E0EA"/>
      </top>
      <bottom style="thin">
        <color rgb="FFD8E0EA"/>
      </bottom>
    </border>
    <border>
      <left style="thin">
        <color rgb="FFD8E0EA"/>
      </left>
      <top style="thin">
        <color rgb="FFD8E0EA"/>
      </top>
      <bottom style="thin">
        <color rgb="FFD8E0EA"/>
      </bottom>
    </border>
    <border>
      <top style="thin">
        <color rgb="FFD8E0EA"/>
      </top>
      <bottom style="thin">
        <color rgb="FFD8E0EA"/>
      </bottom>
    </border>
    <border>
      <right style="thin">
        <color rgb="FFBFCCD8"/>
      </right>
      <top style="thin">
        <color rgb="FFD8E0EA"/>
      </top>
      <bottom style="thin">
        <color rgb="FFD8E0EA"/>
      </bottom>
    </border>
    <border>
      <left style="thin">
        <color rgb="FFBFCCD8"/>
      </left>
      <right style="thin">
        <color rgb="FFD8E0EA"/>
      </right>
      <top style="thin">
        <color rgb="FFD8E0EA"/>
      </top>
      <bottom style="thin">
        <color rgb="FFBFCCD8"/>
      </bottom>
    </border>
    <border>
      <left style="thin">
        <color rgb="FFD8E0EA"/>
      </left>
      <top style="thin">
        <color rgb="FFD8E0EA"/>
      </top>
      <bottom style="thin">
        <color rgb="FFBFCCD8"/>
      </bottom>
    </border>
    <border>
      <top style="thin">
        <color rgb="FFD8E0EA"/>
      </top>
      <bottom style="thin">
        <color rgb="FFBFCCD8"/>
      </bottom>
    </border>
    <border>
      <right style="thin">
        <color rgb="FFBFCCD8"/>
      </right>
      <top style="thin">
        <color rgb="FFD8E0EA"/>
      </top>
      <bottom style="thin">
        <color rgb="FFBFCCD8"/>
      </bottom>
    </border>
    <border>
      <left style="thin">
        <color rgb="FFBFCCD8"/>
      </left>
      <right style="thin">
        <color rgb="FFD8E0EA"/>
      </right>
      <top style="medium">
        <color rgb="FF1C3866"/>
      </top>
      <bottom style="thin">
        <color rgb="FFD8E0EA"/>
      </bottom>
    </border>
    <border>
      <left style="thin">
        <color rgb="FFD8E0EA"/>
      </left>
      <right style="thin">
        <color rgb="FFD8E0EA"/>
      </right>
      <top style="medium">
        <color rgb="FF1C3866"/>
      </top>
      <bottom style="thin">
        <color rgb="FFD8E0EA"/>
      </bottom>
    </border>
    <border>
      <left style="thin">
        <color rgb="FFD8E0EA"/>
      </left>
      <right style="thin">
        <color rgb="FFBFCCD8"/>
      </right>
      <top style="medium">
        <color rgb="FF1C3866"/>
      </top>
      <bottom style="thin">
        <color rgb="FFD8E0EA"/>
      </bottom>
    </border>
    <border>
      <left style="thin">
        <color rgb="FFD8E0EA"/>
      </left>
      <right style="thin">
        <color rgb="FFD8E0EA"/>
      </right>
      <top style="thin">
        <color rgb="FFD8E0EA"/>
      </top>
      <bottom style="thin">
        <color rgb="FFD8E0EA"/>
      </bottom>
    </border>
    <border>
      <left style="thin">
        <color rgb="FFD8E0EA"/>
      </left>
      <right style="thin">
        <color rgb="FFBFCCD8"/>
      </right>
      <top style="thin">
        <color rgb="FFD8E0EA"/>
      </top>
      <bottom style="thin">
        <color rgb="FFD8E0EA"/>
      </bottom>
    </border>
    <border>
      <left style="medium">
        <color rgb="FF1E3989"/>
      </left>
      <right style="thin">
        <color rgb="FFE0E5EF"/>
      </right>
      <top style="medium">
        <color rgb="FF1E3989"/>
      </top>
      <bottom style="thin">
        <color rgb="FFE0E5EF"/>
      </bottom>
    </border>
    <border>
      <left style="thin">
        <color rgb="FFE0E5EF"/>
      </left>
      <right style="thin">
        <color rgb="FFE0E5EF"/>
      </right>
      <top style="medium">
        <color rgb="FF1E3989"/>
      </top>
      <bottom style="thin">
        <color rgb="FFE0E5EF"/>
      </bottom>
    </border>
    <border>
      <left style="thin">
        <color rgb="FFE0E5EF"/>
      </left>
      <top style="medium">
        <color rgb="FF1E3989"/>
      </top>
      <bottom style="thin">
        <color rgb="FFE0E5EF"/>
      </bottom>
    </border>
    <border>
      <left style="thin">
        <color rgb="FFBFCCD8"/>
      </left>
      <right style="thin">
        <color rgb="FFD8E0EA"/>
      </right>
      <top style="thin">
        <color rgb="FFD8E0EA"/>
      </top>
      <bottom style="medium">
        <color rgb="FF1C3866"/>
      </bottom>
    </border>
    <border>
      <top style="medium">
        <color rgb="FF1E3989"/>
      </top>
      <bottom style="thin">
        <color rgb="FFE0E5EF"/>
      </bottom>
    </border>
    <border>
      <left style="thin">
        <color rgb="FFD8E0EA"/>
      </left>
      <right style="thin">
        <color rgb="FFD8E0EA"/>
      </right>
      <top style="thin">
        <color rgb="FFD8E0EA"/>
      </top>
      <bottom style="medium">
        <color rgb="FF1C3866"/>
      </bottom>
    </border>
    <border>
      <right style="medium">
        <color rgb="FF1E3989"/>
      </right>
      <top style="medium">
        <color rgb="FF1E3989"/>
      </top>
      <bottom style="thin">
        <color rgb="FFE0E5EF"/>
      </bottom>
    </border>
    <border>
      <left style="thin">
        <color rgb="FFD8E0EA"/>
      </left>
      <right style="thin">
        <color rgb="FFBFCCD8"/>
      </right>
      <top style="thin">
        <color rgb="FFD8E0EA"/>
      </top>
      <bottom style="medium">
        <color rgb="FF1C3866"/>
      </bottom>
    </border>
    <border>
      <left style="medium">
        <color rgb="FF1E3989"/>
      </left>
      <right style="thin">
        <color rgb="FFE0E5EF"/>
      </right>
      <top style="thin">
        <color rgb="FFE0E5EF"/>
      </top>
      <bottom style="thin">
        <color rgb="FFE0E5EF"/>
      </bottom>
    </border>
    <border>
      <left style="thin">
        <color rgb="FFE0E5EF"/>
      </left>
      <right style="thin">
        <color rgb="FFE0E5EF"/>
      </right>
      <top style="thin">
        <color rgb="FFE0E5EF"/>
      </top>
      <bottom style="thin">
        <color rgb="FFE0E5EF"/>
      </bottom>
    </border>
    <border>
      <left style="thin">
        <color rgb="FFE0E5EF"/>
      </left>
      <top style="thin">
        <color rgb="FFE0E5EF"/>
      </top>
      <bottom style="thin">
        <color rgb="FFE0E5EF"/>
      </bottom>
    </border>
    <border>
      <right style="medium">
        <color rgb="FF1E3989"/>
      </right>
      <top style="thin">
        <color rgb="FFE0E5EF"/>
      </top>
      <bottom style="thin">
        <color rgb="FFE0E5EF"/>
      </bottom>
    </border>
    <border>
      <left style="medium">
        <color rgb="FF1E3989"/>
      </left>
      <right style="thin">
        <color rgb="FFE0E5EF"/>
      </right>
      <top style="thin">
        <color rgb="FFE0E5EF"/>
      </top>
      <bottom style="medium">
        <color rgb="FF1E3989"/>
      </bottom>
    </border>
    <border>
      <left style="thin">
        <color rgb="FFE0E5EF"/>
      </left>
      <right style="thin">
        <color rgb="FFE0E5EF"/>
      </right>
      <top style="thin">
        <color rgb="FFE0E5EF"/>
      </top>
      <bottom style="medium">
        <color rgb="FF1E3989"/>
      </bottom>
    </border>
    <border>
      <bottom style="thin">
        <color rgb="FF1E3989"/>
      </bottom>
    </border>
    <border>
      <right style="medium">
        <color rgb="FF1E3989"/>
      </right>
      <top style="thin">
        <color rgb="FFE0E5EF"/>
      </top>
      <bottom style="thin">
        <color rgb="FF1E3989"/>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vertical="center"/>
    </xf>
    <xf borderId="2" fillId="4"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5" fillId="0" fontId="4" numFmtId="0" xfId="0" applyBorder="1" applyFont="1"/>
    <xf borderId="6" fillId="5" fontId="5" numFmtId="0" xfId="0" applyAlignment="1" applyBorder="1" applyFill="1" applyFont="1">
      <alignment horizontal="center" shrinkToFit="0" vertical="center" wrapText="1"/>
    </xf>
    <xf borderId="7" fillId="0" fontId="4" numFmtId="0" xfId="0" applyBorder="1" applyFont="1"/>
    <xf borderId="8" fillId="5" fontId="5" numFmtId="0" xfId="0" applyAlignment="1" applyBorder="1" applyFill="1" applyFont="1">
      <alignment horizontal="center" shrinkToFit="0" vertical="center" wrapText="1"/>
    </xf>
    <xf borderId="9" fillId="0" fontId="4" numFmtId="0" xfId="0" applyBorder="1" applyFont="1"/>
    <xf borderId="10" fillId="6" fontId="6" numFmtId="0" xfId="0" applyAlignment="1" applyBorder="1" applyFill="1" applyFont="1">
      <alignment horizontal="center" vertical="center"/>
    </xf>
    <xf borderId="6" fillId="7" fontId="7" numFmtId="0" xfId="0" applyAlignment="1" applyBorder="1" applyFill="1" applyFont="1">
      <alignment horizontal="center" vertical="center"/>
    </xf>
    <xf borderId="11" fillId="0" fontId="4" numFmtId="0" xfId="0" applyBorder="1" applyFont="1"/>
    <xf borderId="8" fillId="7" fontId="7" numFmtId="0" xfId="0" applyAlignment="1" applyBorder="1" applyFill="1" applyFont="1">
      <alignment horizontal="center" vertical="center"/>
    </xf>
    <xf borderId="12" fillId="7" fontId="8" numFmtId="0" xfId="0" applyAlignment="1" applyBorder="1" applyFill="1" applyFont="1">
      <alignment horizontal="center" vertical="center"/>
    </xf>
    <xf borderId="13" fillId="0" fontId="4" numFmtId="0" xfId="0" applyBorder="1" applyFont="1"/>
    <xf borderId="14" fillId="7" fontId="9" numFmtId="0" xfId="0" applyAlignment="1" applyBorder="1" applyFill="1" applyFont="1">
      <alignment horizontal="center" vertical="center"/>
    </xf>
    <xf borderId="10" fillId="6" fontId="6" numFmtId="164" xfId="0" applyAlignment="1" applyBorder="1" applyFill="1" applyFont="1" applyNumberFormat="1">
      <alignment horizontal="center" vertical="center"/>
    </xf>
    <xf borderId="14" fillId="7" fontId="8" numFmtId="0" xfId="0" applyAlignment="1" applyBorder="1" applyFill="1" applyFont="1">
      <alignment horizontal="center" vertical="center"/>
    </xf>
    <xf borderId="15" fillId="0" fontId="4" numFmtId="0" xfId="0" applyBorder="1" applyFont="1"/>
    <xf borderId="16" fillId="6" fontId="10" numFmtId="0" xfId="0" applyAlignment="1" applyBorder="1" applyFill="1" applyFont="1">
      <alignment horizontal="center" readingOrder="0" vertical="center"/>
    </xf>
    <xf borderId="17" fillId="0" fontId="4" numFmtId="0" xfId="0" applyBorder="1" applyFont="1"/>
    <xf borderId="18" fillId="5" fontId="11" numFmtId="0" xfId="0" applyAlignment="1" applyBorder="1" applyFill="1" applyFont="1">
      <alignment horizontal="left" vertical="center"/>
    </xf>
    <xf borderId="19" fillId="0" fontId="4" numFmtId="0" xfId="0" applyBorder="1" applyFont="1"/>
    <xf borderId="20" fillId="0" fontId="4" numFmtId="0" xfId="0" applyBorder="1" applyFont="1"/>
    <xf borderId="21" fillId="8" fontId="12" numFmtId="0" xfId="0" applyAlignment="1" applyBorder="1" applyFill="1" applyFont="1">
      <alignment horizontal="center" vertical="center"/>
    </xf>
    <xf borderId="22" fillId="0" fontId="13" numFmtId="0" xfId="0" applyAlignment="1" applyBorder="1" applyFont="1">
      <alignment shrinkToFit="0" vertical="center" wrapText="1"/>
    </xf>
    <xf borderId="23" fillId="0" fontId="4" numFmtId="0" xfId="0" applyBorder="1" applyFont="1"/>
    <xf borderId="24" fillId="0" fontId="4" numFmtId="0" xfId="0" applyBorder="1" applyFont="1"/>
    <xf borderId="25" fillId="8" fontId="12" numFmtId="0" xfId="0" applyAlignment="1" applyBorder="1" applyFill="1" applyFont="1">
      <alignment horizontal="center" vertical="center"/>
    </xf>
    <xf borderId="26" fillId="0" fontId="14" numFmtId="0" xfId="0" applyAlignment="1" applyBorder="1" applyFont="1">
      <alignment vertical="center"/>
    </xf>
    <xf borderId="27" fillId="0" fontId="4" numFmtId="0" xfId="0" applyBorder="1" applyFont="1"/>
    <xf borderId="28" fillId="0" fontId="4" numFmtId="0" xfId="0" applyBorder="1" applyFont="1"/>
    <xf borderId="0" fillId="9" fontId="15" numFmtId="0" xfId="0" applyAlignment="1" applyFill="1" applyFont="1">
      <alignment horizontal="left" vertical="center"/>
    </xf>
    <xf borderId="29" fillId="10" fontId="5" numFmtId="0" xfId="0" applyAlignment="1" applyBorder="1" applyFill="1" applyFont="1">
      <alignment horizontal="center" readingOrder="0" vertical="center"/>
    </xf>
    <xf borderId="30" fillId="10" fontId="5" numFmtId="0" xfId="0" applyAlignment="1" applyBorder="1" applyFill="1" applyFont="1">
      <alignment horizontal="center" readingOrder="0" vertical="center"/>
    </xf>
    <xf borderId="31" fillId="10" fontId="5" numFmtId="0" xfId="0" applyAlignment="1" applyBorder="1" applyFill="1" applyFont="1">
      <alignment horizontal="center" readingOrder="0" vertical="center"/>
    </xf>
    <xf borderId="21" fillId="0" fontId="16" numFmtId="0" xfId="0" applyAlignment="1" applyBorder="1" applyFont="1">
      <alignment horizontal="center" readingOrder="0" shrinkToFit="0" vertical="center" wrapText="1"/>
    </xf>
    <xf borderId="32" fillId="0" fontId="13" numFmtId="0" xfId="0" applyAlignment="1" applyBorder="1" applyFont="1">
      <alignment readingOrder="0" shrinkToFit="0" vertical="center" wrapText="1"/>
    </xf>
    <xf borderId="16" fillId="6" fontId="10" numFmtId="0" xfId="0" applyAlignment="1" applyBorder="1" applyFill="1" applyFont="1">
      <alignment horizontal="center" vertical="center"/>
    </xf>
    <xf borderId="33" fillId="11" fontId="17" numFmtId="0" xfId="0" applyAlignment="1" applyBorder="1" applyFill="1" applyFont="1">
      <alignment horizontal="center" readingOrder="0" shrinkToFit="0" vertical="center" wrapText="1"/>
    </xf>
    <xf borderId="21" fillId="12" fontId="16" numFmtId="0" xfId="0" applyAlignment="1" applyBorder="1" applyFill="1" applyFont="1">
      <alignment horizontal="center" readingOrder="0" shrinkToFit="0" vertical="center" wrapText="1"/>
    </xf>
    <xf borderId="34" fillId="2" fontId="5" numFmtId="0" xfId="0" applyAlignment="1" applyBorder="1" applyFill="1" applyFont="1">
      <alignment horizontal="center" readingOrder="0" shrinkToFit="0" vertical="center" wrapText="1"/>
    </xf>
    <xf borderId="32" fillId="12" fontId="13" numFmtId="0" xfId="0" applyAlignment="1" applyBorder="1" applyFill="1" applyFont="1">
      <alignment readingOrder="0" shrinkToFit="0" vertical="center" wrapText="1"/>
    </xf>
    <xf borderId="35" fillId="2" fontId="5" numFmtId="0" xfId="0" applyAlignment="1" applyBorder="1" applyFill="1" applyFont="1">
      <alignment horizontal="center" readingOrder="0" shrinkToFit="0" vertical="center" wrapText="1"/>
    </xf>
    <xf borderId="36" fillId="2" fontId="5" numFmtId="0" xfId="0" applyAlignment="1" applyBorder="1" applyFill="1" applyFont="1">
      <alignment horizontal="center" readingOrder="0" shrinkToFit="0" vertical="center" wrapText="1"/>
    </xf>
    <xf borderId="37" fillId="0" fontId="16" numFmtId="0" xfId="0" applyAlignment="1" applyBorder="1" applyFont="1">
      <alignment horizontal="center" readingOrder="0" shrinkToFit="0" vertical="center" wrapText="1"/>
    </xf>
    <xf borderId="38" fillId="2" fontId="4" numFmtId="0" xfId="0" applyBorder="1" applyFill="1" applyFont="1"/>
    <xf borderId="39" fillId="0" fontId="13" numFmtId="0" xfId="0" applyAlignment="1" applyBorder="1" applyFont="1">
      <alignment readingOrder="0" shrinkToFit="0" vertical="center" wrapText="1"/>
    </xf>
    <xf borderId="40" fillId="2" fontId="4" numFmtId="0" xfId="0" applyBorder="1" applyFill="1" applyFont="1"/>
    <xf borderId="41" fillId="11" fontId="17" numFmtId="0" xfId="0" applyAlignment="1" applyBorder="1" applyFill="1" applyFont="1">
      <alignment horizontal="center" readingOrder="0" shrinkToFit="0" vertical="center" wrapText="1"/>
    </xf>
    <xf borderId="42" fillId="13" fontId="18" numFmtId="0" xfId="0" applyAlignment="1" applyBorder="1" applyFill="1" applyFont="1">
      <alignment horizontal="center" readingOrder="0" shrinkToFit="0" vertical="center" wrapText="1"/>
    </xf>
    <xf borderId="43" fillId="13" fontId="18" numFmtId="0" xfId="0" applyAlignment="1" applyBorder="1" applyFill="1" applyFont="1">
      <alignment horizontal="center" readingOrder="0" shrinkToFit="0" vertical="center" wrapText="1"/>
    </xf>
    <xf borderId="43" fillId="13" fontId="18" numFmtId="0" xfId="0" applyAlignment="1" applyBorder="1" applyFill="1" applyFont="1">
      <alignment readingOrder="0" shrinkToFit="0" vertical="top" wrapText="1"/>
    </xf>
    <xf borderId="44" fillId="13" fontId="18" numFmtId="0" xfId="0" applyAlignment="1" applyBorder="1" applyFill="1" applyFont="1">
      <alignment horizontal="center" readingOrder="0" shrinkToFit="0" vertical="center" wrapText="1"/>
    </xf>
    <xf borderId="29" fillId="10" fontId="5" numFmtId="0" xfId="0" applyAlignment="1" applyBorder="1" applyFill="1" applyFont="1">
      <alignment horizontal="center" readingOrder="0" shrinkToFit="0" vertical="center" wrapText="1"/>
    </xf>
    <xf borderId="30" fillId="10" fontId="5" numFmtId="0" xfId="0" applyAlignment="1" applyBorder="1" applyFill="1" applyFont="1">
      <alignment horizontal="center" readingOrder="0" shrinkToFit="0" vertical="center" wrapText="1"/>
    </xf>
    <xf borderId="31" fillId="10" fontId="5" numFmtId="0" xfId="0" applyAlignment="1" applyBorder="1" applyFill="1" applyFont="1">
      <alignment horizontal="center" readingOrder="0" shrinkToFit="0" vertical="center" wrapText="1"/>
    </xf>
    <xf borderId="0" fillId="13" fontId="18" numFmtId="0" xfId="0" applyAlignment="1" applyFill="1" applyFont="1">
      <alignment readingOrder="0" shrinkToFit="0" vertical="top" wrapText="1"/>
    </xf>
    <xf borderId="33" fillId="0" fontId="13" numFmtId="0" xfId="0" applyAlignment="1" applyBorder="1" applyFont="1">
      <alignment readingOrder="0" shrinkToFit="0" vertical="center" wrapText="1"/>
    </xf>
    <xf borderId="45" fillId="13" fontId="18" numFmtId="0" xfId="0" applyAlignment="1" applyBorder="1" applyFill="1" applyFont="1">
      <alignment readingOrder="0" shrinkToFit="0" vertical="top" wrapText="1"/>
    </xf>
    <xf borderId="33" fillId="12" fontId="13" numFmtId="0" xfId="0" applyAlignment="1" applyBorder="1" applyFill="1" applyFont="1">
      <alignment readingOrder="0" shrinkToFit="0" vertical="center" wrapText="1"/>
    </xf>
    <xf borderId="42" fillId="14" fontId="18" numFmtId="0" xfId="0" applyAlignment="1" applyBorder="1" applyFill="1" applyFont="1">
      <alignment horizontal="center" readingOrder="0" shrinkToFit="0" vertical="center" wrapText="1"/>
    </xf>
    <xf borderId="43" fillId="14" fontId="18" numFmtId="0" xfId="0" applyAlignment="1" applyBorder="1" applyFill="1" applyFont="1">
      <alignment horizontal="center" readingOrder="0" shrinkToFit="0" vertical="center" wrapText="1"/>
    </xf>
    <xf borderId="43" fillId="14" fontId="18" numFmtId="0" xfId="0" applyAlignment="1" applyBorder="1" applyFill="1" applyFont="1">
      <alignment readingOrder="0" shrinkToFit="0" vertical="top" wrapText="1"/>
    </xf>
    <xf borderId="37" fillId="12" fontId="16" numFmtId="0" xfId="0" applyAlignment="1" applyBorder="1" applyFill="1" applyFont="1">
      <alignment horizontal="center" readingOrder="0" shrinkToFit="0" vertical="center" wrapText="1"/>
    </xf>
    <xf borderId="39" fillId="12" fontId="13" numFmtId="0" xfId="0" applyAlignment="1" applyBorder="1" applyFill="1" applyFont="1">
      <alignment readingOrder="0" shrinkToFit="0" vertical="center" wrapText="1"/>
    </xf>
    <xf borderId="41" fillId="12" fontId="13" numFmtId="0" xfId="0" applyAlignment="1" applyBorder="1" applyFill="1" applyFont="1">
      <alignment readingOrder="0" shrinkToFit="0" vertical="center" wrapText="1"/>
    </xf>
    <xf borderId="0" fillId="14" fontId="18" numFmtId="0" xfId="0" applyAlignment="1" applyFill="1" applyFont="1">
      <alignment readingOrder="0" shrinkToFit="0" vertical="top" wrapText="1"/>
    </xf>
    <xf borderId="45" fillId="14" fontId="18" numFmtId="0" xfId="0" applyAlignment="1" applyBorder="1" applyFill="1" applyFont="1">
      <alignment readingOrder="0" shrinkToFit="0" vertical="top" wrapText="1"/>
    </xf>
    <xf borderId="41" fillId="0" fontId="13" numFmtId="0" xfId="0" applyAlignment="1" applyBorder="1" applyFont="1">
      <alignment readingOrder="0" shrinkToFit="0" vertical="center" wrapText="1"/>
    </xf>
    <xf borderId="46" fillId="14" fontId="18" numFmtId="0" xfId="0" applyAlignment="1" applyBorder="1" applyFill="1" applyFont="1">
      <alignment horizontal="center" readingOrder="0" shrinkToFit="0" vertical="center" wrapText="1"/>
    </xf>
    <xf borderId="47" fillId="14" fontId="18" numFmtId="0" xfId="0" applyAlignment="1" applyBorder="1" applyFill="1" applyFont="1">
      <alignment horizontal="center" readingOrder="0" shrinkToFit="0" vertical="center" wrapText="1"/>
    </xf>
    <xf borderId="47" fillId="14" fontId="18" numFmtId="0" xfId="0" applyAlignment="1" applyBorder="1" applyFill="1" applyFont="1">
      <alignment readingOrder="0" shrinkToFit="0" vertical="top" wrapText="1"/>
    </xf>
    <xf borderId="48" fillId="14" fontId="18" numFmtId="0" xfId="0" applyAlignment="1" applyBorder="1" applyFill="1" applyFont="1">
      <alignment readingOrder="0" shrinkToFit="0" vertical="top" wrapText="1"/>
    </xf>
    <xf borderId="49" fillId="14" fontId="18" numFmtId="0" xfId="0" applyAlignment="1" applyBorder="1" applyFill="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5.png"/><Relationship Id="rId11" Type="http://schemas.openxmlformats.org/officeDocument/2006/relationships/image" Target="../media/image3.png"/><Relationship Id="rId10" Type="http://schemas.openxmlformats.org/officeDocument/2006/relationships/image" Target="../media/image2.png"/><Relationship Id="rId21" Type="http://schemas.openxmlformats.org/officeDocument/2006/relationships/image" Target="../media/image13.png"/><Relationship Id="rId13" Type="http://schemas.openxmlformats.org/officeDocument/2006/relationships/image" Target="../media/image14.png"/><Relationship Id="rId12" Type="http://schemas.openxmlformats.org/officeDocument/2006/relationships/image" Target="../media/image6.png"/><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1.png"/><Relationship Id="rId4" Type="http://schemas.openxmlformats.org/officeDocument/2006/relationships/image" Target="../media/image19.png"/><Relationship Id="rId9" Type="http://schemas.openxmlformats.org/officeDocument/2006/relationships/image" Target="../media/image7.png"/><Relationship Id="rId15" Type="http://schemas.openxmlformats.org/officeDocument/2006/relationships/image" Target="../media/image18.png"/><Relationship Id="rId14" Type="http://schemas.openxmlformats.org/officeDocument/2006/relationships/image" Target="../media/image16.png"/><Relationship Id="rId17" Type="http://schemas.openxmlformats.org/officeDocument/2006/relationships/image" Target="../media/image10.png"/><Relationship Id="rId16" Type="http://schemas.openxmlformats.org/officeDocument/2006/relationships/image" Target="../media/image9.png"/><Relationship Id="rId5" Type="http://schemas.openxmlformats.org/officeDocument/2006/relationships/image" Target="../media/image4.png"/><Relationship Id="rId19" Type="http://schemas.openxmlformats.org/officeDocument/2006/relationships/image" Target="../media/image21.png"/><Relationship Id="rId6" Type="http://schemas.openxmlformats.org/officeDocument/2006/relationships/image" Target="../media/image17.png"/><Relationship Id="rId18" Type="http://schemas.openxmlformats.org/officeDocument/2006/relationships/image" Target="../media/image12.png"/><Relationship Id="rId7" Type="http://schemas.openxmlformats.org/officeDocument/2006/relationships/image" Target="../media/image5.png"/><Relationship Id="rId8"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xdr:row>
      <xdr:rowOff>0</xdr:rowOff>
    </xdr:from>
    <xdr:ext cx="1866900" cy="22288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1762125" cy="22288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xdr:row>
      <xdr:rowOff>0</xdr:rowOff>
    </xdr:from>
    <xdr:ext cx="1733550" cy="22288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9</xdr:row>
      <xdr:rowOff>0</xdr:rowOff>
    </xdr:from>
    <xdr:ext cx="2228850" cy="2333625"/>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10</xdr:row>
      <xdr:rowOff>0</xdr:rowOff>
    </xdr:from>
    <xdr:ext cx="1762125" cy="20478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11</xdr:row>
      <xdr:rowOff>0</xdr:rowOff>
    </xdr:from>
    <xdr:ext cx="2295525" cy="2447925"/>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12</xdr:row>
      <xdr:rowOff>0</xdr:rowOff>
    </xdr:from>
    <xdr:ext cx="2257425" cy="225742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13</xdr:row>
      <xdr:rowOff>0</xdr:rowOff>
    </xdr:from>
    <xdr:ext cx="2038350" cy="2209800"/>
    <xdr:pic>
      <xdr:nvPicPr>
        <xdr:cNvPr id="0" name="image20.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14</xdr:row>
      <xdr:rowOff>0</xdr:rowOff>
    </xdr:from>
    <xdr:ext cx="2143125" cy="2238375"/>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15</xdr:row>
      <xdr:rowOff>0</xdr:rowOff>
    </xdr:from>
    <xdr:ext cx="2638425" cy="280987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16</xdr:row>
      <xdr:rowOff>0</xdr:rowOff>
    </xdr:from>
    <xdr:ext cx="1952625" cy="223837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17</xdr:row>
      <xdr:rowOff>0</xdr:rowOff>
    </xdr:from>
    <xdr:ext cx="2047875" cy="222885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18</xdr:row>
      <xdr:rowOff>0</xdr:rowOff>
    </xdr:from>
    <xdr:ext cx="2171700" cy="2238375"/>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19</xdr:row>
      <xdr:rowOff>0</xdr:rowOff>
    </xdr:from>
    <xdr:ext cx="2000250" cy="2200275"/>
    <xdr:pic>
      <xdr:nvPicPr>
        <xdr:cNvPr id="0" name="image14.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20</xdr:row>
      <xdr:rowOff>0</xdr:rowOff>
    </xdr:from>
    <xdr:ext cx="1990725" cy="223837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21</xdr:row>
      <xdr:rowOff>0</xdr:rowOff>
    </xdr:from>
    <xdr:ext cx="2047875" cy="2209800"/>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0</xdr:colOff>
      <xdr:row>22</xdr:row>
      <xdr:rowOff>0</xdr:rowOff>
    </xdr:from>
    <xdr:ext cx="2047875" cy="2200275"/>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11</xdr:col>
      <xdr:colOff>0</xdr:colOff>
      <xdr:row>23</xdr:row>
      <xdr:rowOff>0</xdr:rowOff>
    </xdr:from>
    <xdr:ext cx="2028825" cy="2228850"/>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24</xdr:row>
      <xdr:rowOff>0</xdr:rowOff>
    </xdr:from>
    <xdr:ext cx="1981200" cy="2209800"/>
    <xdr:pic>
      <xdr:nvPicPr>
        <xdr:cNvPr id="0" name="image12.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25</xdr:row>
      <xdr:rowOff>0</xdr:rowOff>
    </xdr:from>
    <xdr:ext cx="2867025" cy="523875"/>
    <xdr:pic>
      <xdr:nvPicPr>
        <xdr:cNvPr id="0" name="image21.png"/>
        <xdr:cNvPicPr preferRelativeResize="0"/>
      </xdr:nvPicPr>
      <xdr:blipFill>
        <a:blip cstate="print" r:embed="rId19"/>
        <a:stretch>
          <a:fillRect/>
        </a:stretch>
      </xdr:blipFill>
      <xdr:spPr>
        <a:prstGeom prst="rect">
          <a:avLst/>
        </a:prstGeom>
        <a:noFill/>
      </xdr:spPr>
    </xdr:pic>
    <xdr:clientData fLocksWithSheet="0"/>
  </xdr:oneCellAnchor>
  <xdr:oneCellAnchor>
    <xdr:from>
      <xdr:col>11</xdr:col>
      <xdr:colOff>0</xdr:colOff>
      <xdr:row>26</xdr:row>
      <xdr:rowOff>0</xdr:rowOff>
    </xdr:from>
    <xdr:ext cx="2867025" cy="390525"/>
    <xdr:pic>
      <xdr:nvPicPr>
        <xdr:cNvPr id="0" name="image15.png"/>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0</xdr:colOff>
      <xdr:row>27</xdr:row>
      <xdr:rowOff>0</xdr:rowOff>
    </xdr:from>
    <xdr:ext cx="2867025" cy="390525"/>
    <xdr:pic>
      <xdr:nvPicPr>
        <xdr:cNvPr id="0" name="image13.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2.0"/>
    <col customWidth="1" min="3" max="3" width="19.5"/>
    <col customWidth="1" min="4" max="4" width="13.25"/>
    <col customWidth="1" min="5" max="5" width="27.63"/>
    <col customWidth="1" min="6" max="6" width="22.63"/>
    <col customWidth="1" min="7" max="7" width="27.63"/>
    <col customWidth="1" min="8" max="8" width="21.38"/>
    <col customWidth="1" min="9" max="9" width="31.38"/>
    <col customWidth="1" min="10" max="10" width="28.88"/>
    <col customWidth="1" min="11" max="11" width="13.88"/>
    <col customWidth="1" min="12" max="12" width="37.63"/>
    <col customWidth="1" min="13" max="13" width="32.5"/>
    <col customWidth="1" min="14" max="14" width="29.75"/>
  </cols>
  <sheetData>
    <row r="1" ht="6.75" customHeight="1"/>
    <row r="2" ht="30.0" customHeight="1">
      <c r="B2" s="1" t="s">
        <v>1</v>
      </c>
    </row>
    <row r="3" ht="19.5" customHeight="1">
      <c r="B3" s="3" t="s">
        <v>2</v>
      </c>
      <c r="C3" s="6"/>
      <c r="D3" s="3" t="s">
        <v>4</v>
      </c>
      <c r="E3" s="6"/>
      <c r="F3" s="3" t="s">
        <v>5</v>
      </c>
      <c r="G3" s="6"/>
      <c r="H3" s="3" t="s">
        <v>7</v>
      </c>
      <c r="I3" s="6"/>
      <c r="J3" s="3" t="s">
        <v>8</v>
      </c>
      <c r="K3" s="6"/>
      <c r="L3" s="3" t="s">
        <v>10</v>
      </c>
      <c r="M3" s="6"/>
    </row>
    <row r="4" ht="27.0" customHeight="1">
      <c r="B4" s="11">
        <f>COUNTA(B9:B28)</f>
        <v>20</v>
      </c>
      <c r="C4" s="13"/>
      <c r="D4" s="11">
        <f>COUNTIF(K9:K28, "Passed")</f>
        <v>19</v>
      </c>
      <c r="E4" s="13"/>
      <c r="F4" s="11">
        <f>COUNTIF(K9:K28, "Failed")</f>
        <v>1</v>
      </c>
      <c r="G4" s="13"/>
      <c r="H4" s="11">
        <f>COUNTIF(K9:K28, "Untested")</f>
        <v>0</v>
      </c>
      <c r="I4" s="13"/>
      <c r="J4" s="11">
        <f>COUNTIF(K9:K28, "Blocked")</f>
        <v>0</v>
      </c>
      <c r="K4" s="13"/>
      <c r="L4" s="18">
        <f>IF(B4&gt;0, D4/B4, 0)</f>
        <v>0.95</v>
      </c>
      <c r="M4" s="13"/>
    </row>
    <row r="5" ht="18.0" customHeight="1">
      <c r="B5" s="21" t="s">
        <v>15</v>
      </c>
      <c r="C5" s="22"/>
      <c r="D5" s="21" t="s">
        <v>17</v>
      </c>
      <c r="E5" s="22"/>
      <c r="F5" s="21" t="s">
        <v>18</v>
      </c>
      <c r="G5" s="22"/>
      <c r="H5" s="21" t="s">
        <v>19</v>
      </c>
      <c r="I5" s="22"/>
      <c r="J5" s="21" t="s">
        <v>20</v>
      </c>
      <c r="K5" s="22"/>
      <c r="L5" s="40" t="str">
        <f>IFERROR(__xludf.DUMMYFUNCTION("SPARKLINE(L4, {""charttype"",""bar""; ""max"",1; ""color1"",""#2e7d32""})"),"")</f>
        <v/>
      </c>
      <c r="M5" s="22"/>
    </row>
    <row r="6" ht="12.0" customHeight="1"/>
    <row r="8" ht="27.0" customHeight="1">
      <c r="B8" s="43" t="s">
        <v>36</v>
      </c>
      <c r="C8" s="45" t="s">
        <v>40</v>
      </c>
      <c r="D8" s="45" t="s">
        <v>45</v>
      </c>
      <c r="E8" s="45" t="s">
        <v>49</v>
      </c>
      <c r="F8" s="45" t="s">
        <v>50</v>
      </c>
      <c r="G8" s="45" t="s">
        <v>54</v>
      </c>
      <c r="H8" s="45" t="s">
        <v>55</v>
      </c>
      <c r="I8" s="45" t="s">
        <v>58</v>
      </c>
      <c r="J8" s="45" t="s">
        <v>61</v>
      </c>
      <c r="K8" s="45" t="s">
        <v>30</v>
      </c>
      <c r="L8" s="46"/>
      <c r="M8" s="48"/>
      <c r="N8" s="50"/>
    </row>
    <row r="9" ht="175.5" customHeight="1">
      <c r="B9" s="52" t="s">
        <v>73</v>
      </c>
      <c r="C9" s="53" t="s">
        <v>34</v>
      </c>
      <c r="D9" s="53" t="s">
        <v>31</v>
      </c>
      <c r="E9" s="54" t="s">
        <v>77</v>
      </c>
      <c r="F9" s="54" t="s">
        <v>80</v>
      </c>
      <c r="G9" s="54" t="s">
        <v>84</v>
      </c>
      <c r="H9" s="54" t="s">
        <v>85</v>
      </c>
      <c r="I9" s="54" t="s">
        <v>88</v>
      </c>
      <c r="J9" s="54" t="s">
        <v>91</v>
      </c>
      <c r="K9" s="55" t="s">
        <v>111</v>
      </c>
      <c r="L9" s="59"/>
      <c r="M9" s="61"/>
      <c r="N9" s="61"/>
    </row>
    <row r="10" ht="183.75" customHeight="1">
      <c r="B10" s="63" t="s">
        <v>139</v>
      </c>
      <c r="C10" s="64" t="s">
        <v>34</v>
      </c>
      <c r="D10" s="64" t="s">
        <v>31</v>
      </c>
      <c r="E10" s="65" t="s">
        <v>155</v>
      </c>
      <c r="F10" s="65" t="s">
        <v>160</v>
      </c>
      <c r="G10" s="65" t="s">
        <v>164</v>
      </c>
      <c r="H10" s="65" t="s">
        <v>165</v>
      </c>
      <c r="I10" s="65" t="s">
        <v>167</v>
      </c>
      <c r="J10" s="65" t="s">
        <v>168</v>
      </c>
      <c r="K10" s="64" t="s">
        <v>111</v>
      </c>
      <c r="L10" s="69"/>
      <c r="M10" s="70"/>
      <c r="N10" s="70"/>
    </row>
    <row r="11" ht="161.25" customHeight="1">
      <c r="B11" s="52" t="s">
        <v>177</v>
      </c>
      <c r="C11" s="53" t="s">
        <v>39</v>
      </c>
      <c r="D11" s="53" t="s">
        <v>35</v>
      </c>
      <c r="E11" s="54" t="s">
        <v>184</v>
      </c>
      <c r="F11" s="54" t="s">
        <v>186</v>
      </c>
      <c r="G11" s="54" t="s">
        <v>189</v>
      </c>
      <c r="H11" s="54" t="s">
        <v>192</v>
      </c>
      <c r="I11" s="54" t="s">
        <v>195</v>
      </c>
      <c r="J11" s="54" t="s">
        <v>197</v>
      </c>
      <c r="K11" s="53" t="s">
        <v>200</v>
      </c>
      <c r="L11" s="59"/>
      <c r="M11" s="61"/>
      <c r="N11" s="61"/>
    </row>
    <row r="12" ht="192.75" customHeight="1">
      <c r="B12" s="63" t="s">
        <v>205</v>
      </c>
      <c r="C12" s="64" t="s">
        <v>39</v>
      </c>
      <c r="D12" s="64" t="s">
        <v>35</v>
      </c>
      <c r="E12" s="65" t="s">
        <v>206</v>
      </c>
      <c r="F12" s="65" t="s">
        <v>186</v>
      </c>
      <c r="G12" s="65" t="s">
        <v>207</v>
      </c>
      <c r="H12" s="65" t="s">
        <v>208</v>
      </c>
      <c r="I12" s="65" t="s">
        <v>209</v>
      </c>
      <c r="J12" s="65" t="s">
        <v>210</v>
      </c>
      <c r="K12" s="64" t="s">
        <v>111</v>
      </c>
      <c r="L12" s="69"/>
      <c r="M12" s="70"/>
      <c r="N12" s="70"/>
    </row>
    <row r="13" ht="178.5" customHeight="1">
      <c r="B13" s="52" t="s">
        <v>211</v>
      </c>
      <c r="C13" s="53" t="s">
        <v>39</v>
      </c>
      <c r="D13" s="53" t="s">
        <v>212</v>
      </c>
      <c r="E13" s="54" t="s">
        <v>213</v>
      </c>
      <c r="F13" s="54" t="s">
        <v>186</v>
      </c>
      <c r="G13" s="54" t="s">
        <v>214</v>
      </c>
      <c r="H13" s="54" t="s">
        <v>215</v>
      </c>
      <c r="I13" s="54" t="s">
        <v>216</v>
      </c>
      <c r="J13" s="54" t="s">
        <v>217</v>
      </c>
      <c r="K13" s="53" t="s">
        <v>111</v>
      </c>
      <c r="L13" s="59"/>
      <c r="M13" s="61"/>
      <c r="N13" s="61"/>
    </row>
    <row r="14" ht="174.0" customHeight="1">
      <c r="B14" s="63" t="s">
        <v>218</v>
      </c>
      <c r="C14" s="64" t="s">
        <v>39</v>
      </c>
      <c r="D14" s="64" t="s">
        <v>212</v>
      </c>
      <c r="E14" s="65" t="s">
        <v>219</v>
      </c>
      <c r="F14" s="65" t="s">
        <v>186</v>
      </c>
      <c r="G14" s="65" t="s">
        <v>220</v>
      </c>
      <c r="H14" s="65" t="s">
        <v>221</v>
      </c>
      <c r="I14" s="65" t="s">
        <v>222</v>
      </c>
      <c r="J14" s="65" t="s">
        <v>223</v>
      </c>
      <c r="K14" s="64" t="s">
        <v>111</v>
      </c>
      <c r="L14" s="69"/>
      <c r="M14" s="70"/>
      <c r="N14" s="70"/>
    </row>
    <row r="15" ht="177.0" customHeight="1">
      <c r="B15" s="52" t="s">
        <v>224</v>
      </c>
      <c r="C15" s="53" t="s">
        <v>44</v>
      </c>
      <c r="D15" s="53" t="s">
        <v>225</v>
      </c>
      <c r="E15" s="54" t="s">
        <v>226</v>
      </c>
      <c r="F15" s="54" t="s">
        <v>227</v>
      </c>
      <c r="G15" s="54" t="s">
        <v>228</v>
      </c>
      <c r="H15" s="54" t="s">
        <v>229</v>
      </c>
      <c r="I15" s="54" t="s">
        <v>230</v>
      </c>
      <c r="J15" s="54" t="s">
        <v>231</v>
      </c>
      <c r="K15" s="53" t="s">
        <v>111</v>
      </c>
      <c r="L15" s="59"/>
      <c r="M15" s="61"/>
      <c r="N15" s="61"/>
    </row>
    <row r="16" ht="221.25" customHeight="1">
      <c r="B16" s="63" t="s">
        <v>232</v>
      </c>
      <c r="C16" s="64" t="s">
        <v>44</v>
      </c>
      <c r="D16" s="64" t="s">
        <v>41</v>
      </c>
      <c r="E16" s="65" t="s">
        <v>233</v>
      </c>
      <c r="F16" s="65" t="s">
        <v>227</v>
      </c>
      <c r="G16" s="65" t="s">
        <v>234</v>
      </c>
      <c r="H16" s="65" t="s">
        <v>235</v>
      </c>
      <c r="I16" s="65" t="s">
        <v>236</v>
      </c>
      <c r="J16" s="65" t="s">
        <v>237</v>
      </c>
      <c r="K16" s="64" t="s">
        <v>111</v>
      </c>
      <c r="L16" s="69"/>
      <c r="M16" s="70"/>
      <c r="N16" s="70"/>
    </row>
    <row r="17" ht="176.25" customHeight="1">
      <c r="B17" s="52" t="s">
        <v>238</v>
      </c>
      <c r="C17" s="53" t="s">
        <v>44</v>
      </c>
      <c r="D17" s="53" t="s">
        <v>46</v>
      </c>
      <c r="E17" s="54" t="s">
        <v>239</v>
      </c>
      <c r="F17" s="54" t="s">
        <v>240</v>
      </c>
      <c r="G17" s="54" t="s">
        <v>241</v>
      </c>
      <c r="H17" s="54" t="s">
        <v>242</v>
      </c>
      <c r="I17" s="54" t="s">
        <v>243</v>
      </c>
      <c r="J17" s="54" t="s">
        <v>244</v>
      </c>
      <c r="K17" s="53" t="s">
        <v>111</v>
      </c>
      <c r="L17" s="59"/>
      <c r="M17" s="61"/>
      <c r="N17" s="61"/>
    </row>
    <row r="18" ht="175.5" customHeight="1">
      <c r="B18" s="63" t="s">
        <v>245</v>
      </c>
      <c r="C18" s="64" t="s">
        <v>44</v>
      </c>
      <c r="D18" s="64" t="s">
        <v>246</v>
      </c>
      <c r="E18" s="65" t="s">
        <v>247</v>
      </c>
      <c r="F18" s="65" t="s">
        <v>227</v>
      </c>
      <c r="G18" s="65" t="s">
        <v>248</v>
      </c>
      <c r="H18" s="65" t="s">
        <v>249</v>
      </c>
      <c r="I18" s="65" t="s">
        <v>250</v>
      </c>
      <c r="J18" s="65" t="s">
        <v>244</v>
      </c>
      <c r="K18" s="64" t="s">
        <v>111</v>
      </c>
      <c r="L18" s="69"/>
      <c r="M18" s="70"/>
      <c r="N18" s="70"/>
    </row>
    <row r="19" ht="176.25" customHeight="1">
      <c r="B19" s="52" t="s">
        <v>251</v>
      </c>
      <c r="C19" s="53" t="s">
        <v>44</v>
      </c>
      <c r="D19" s="53" t="s">
        <v>46</v>
      </c>
      <c r="E19" s="54" t="s">
        <v>252</v>
      </c>
      <c r="F19" s="54" t="s">
        <v>227</v>
      </c>
      <c r="G19" s="54" t="s">
        <v>253</v>
      </c>
      <c r="H19" s="54" t="s">
        <v>254</v>
      </c>
      <c r="I19" s="54" t="s">
        <v>255</v>
      </c>
      <c r="J19" s="54" t="s">
        <v>244</v>
      </c>
      <c r="K19" s="53" t="s">
        <v>111</v>
      </c>
      <c r="L19" s="59"/>
      <c r="M19" s="61"/>
      <c r="N19" s="61"/>
    </row>
    <row r="20" ht="173.25" customHeight="1">
      <c r="B20" s="63" t="s">
        <v>256</v>
      </c>
      <c r="C20" s="64" t="s">
        <v>44</v>
      </c>
      <c r="D20" s="64" t="s">
        <v>51</v>
      </c>
      <c r="E20" s="65" t="s">
        <v>257</v>
      </c>
      <c r="F20" s="65" t="s">
        <v>258</v>
      </c>
      <c r="G20" s="65" t="s">
        <v>259</v>
      </c>
      <c r="H20" s="65" t="s">
        <v>260</v>
      </c>
      <c r="I20" s="65" t="s">
        <v>261</v>
      </c>
      <c r="J20" s="65" t="s">
        <v>262</v>
      </c>
      <c r="K20" s="64" t="s">
        <v>111</v>
      </c>
      <c r="L20" s="69"/>
      <c r="M20" s="70"/>
      <c r="N20" s="70"/>
    </row>
    <row r="21" ht="176.25" customHeight="1">
      <c r="B21" s="52" t="s">
        <v>263</v>
      </c>
      <c r="C21" s="53" t="s">
        <v>44</v>
      </c>
      <c r="D21" s="53" t="s">
        <v>264</v>
      </c>
      <c r="E21" s="54" t="s">
        <v>265</v>
      </c>
      <c r="F21" s="54" t="s">
        <v>227</v>
      </c>
      <c r="G21" s="54" t="s">
        <v>266</v>
      </c>
      <c r="H21" s="54" t="s">
        <v>267</v>
      </c>
      <c r="I21" s="54" t="s">
        <v>268</v>
      </c>
      <c r="J21" s="54" t="s">
        <v>269</v>
      </c>
      <c r="K21" s="53" t="s">
        <v>111</v>
      </c>
      <c r="L21" s="59"/>
      <c r="M21" s="61"/>
      <c r="N21" s="61"/>
    </row>
    <row r="22" ht="174.0" customHeight="1">
      <c r="B22" s="63" t="s">
        <v>270</v>
      </c>
      <c r="C22" s="64" t="s">
        <v>60</v>
      </c>
      <c r="D22" s="64" t="s">
        <v>56</v>
      </c>
      <c r="E22" s="65" t="s">
        <v>271</v>
      </c>
      <c r="F22" s="65" t="s">
        <v>272</v>
      </c>
      <c r="G22" s="65" t="s">
        <v>273</v>
      </c>
      <c r="H22" s="65" t="s">
        <v>274</v>
      </c>
      <c r="I22" s="65" t="s">
        <v>275</v>
      </c>
      <c r="J22" s="65" t="s">
        <v>276</v>
      </c>
      <c r="K22" s="64" t="s">
        <v>111</v>
      </c>
      <c r="L22" s="69"/>
      <c r="M22" s="70"/>
      <c r="N22" s="70"/>
    </row>
    <row r="23" ht="173.25" customHeight="1">
      <c r="B23" s="52" t="s">
        <v>277</v>
      </c>
      <c r="C23" s="53" t="s">
        <v>60</v>
      </c>
      <c r="D23" s="53" t="s">
        <v>278</v>
      </c>
      <c r="E23" s="54" t="s">
        <v>279</v>
      </c>
      <c r="F23" s="54" t="s">
        <v>280</v>
      </c>
      <c r="G23" s="54" t="s">
        <v>281</v>
      </c>
      <c r="H23" s="54" t="s">
        <v>282</v>
      </c>
      <c r="I23" s="54" t="s">
        <v>283</v>
      </c>
      <c r="J23" s="54" t="s">
        <v>284</v>
      </c>
      <c r="K23" s="53" t="s">
        <v>111</v>
      </c>
      <c r="L23" s="59"/>
      <c r="M23" s="61"/>
      <c r="N23" s="61"/>
    </row>
    <row r="24" ht="175.5" customHeight="1">
      <c r="B24" s="63" t="s">
        <v>285</v>
      </c>
      <c r="C24" s="64" t="s">
        <v>39</v>
      </c>
      <c r="D24" s="64" t="s">
        <v>286</v>
      </c>
      <c r="E24" s="65" t="s">
        <v>287</v>
      </c>
      <c r="F24" s="65" t="s">
        <v>288</v>
      </c>
      <c r="G24" s="65" t="s">
        <v>289</v>
      </c>
      <c r="H24" s="65" t="s">
        <v>290</v>
      </c>
      <c r="I24" s="65" t="s">
        <v>291</v>
      </c>
      <c r="J24" s="65" t="s">
        <v>292</v>
      </c>
      <c r="K24" s="64" t="s">
        <v>111</v>
      </c>
      <c r="L24" s="69"/>
      <c r="M24" s="70"/>
      <c r="N24" s="70"/>
    </row>
    <row r="25" ht="174.0" customHeight="1">
      <c r="B25" s="52" t="s">
        <v>293</v>
      </c>
      <c r="C25" s="53" t="s">
        <v>39</v>
      </c>
      <c r="D25" s="53" t="s">
        <v>66</v>
      </c>
      <c r="E25" s="54" t="s">
        <v>294</v>
      </c>
      <c r="F25" s="54" t="s">
        <v>295</v>
      </c>
      <c r="G25" s="54" t="s">
        <v>296</v>
      </c>
      <c r="H25" s="54" t="s">
        <v>297</v>
      </c>
      <c r="I25" s="54" t="s">
        <v>298</v>
      </c>
      <c r="J25" s="54" t="s">
        <v>299</v>
      </c>
      <c r="K25" s="53" t="s">
        <v>111</v>
      </c>
      <c r="L25" s="59"/>
      <c r="M25" s="61"/>
      <c r="N25" s="61"/>
    </row>
    <row r="26" ht="106.5" customHeight="1">
      <c r="B26" s="63" t="s">
        <v>300</v>
      </c>
      <c r="C26" s="64" t="s">
        <v>72</v>
      </c>
      <c r="D26" s="64" t="s">
        <v>69</v>
      </c>
      <c r="E26" s="65" t="s">
        <v>301</v>
      </c>
      <c r="F26" s="65" t="s">
        <v>302</v>
      </c>
      <c r="G26" s="65" t="s">
        <v>303</v>
      </c>
      <c r="H26" s="65" t="s">
        <v>304</v>
      </c>
      <c r="I26" s="65" t="s">
        <v>305</v>
      </c>
      <c r="J26" s="65" t="s">
        <v>306</v>
      </c>
      <c r="K26" s="64" t="s">
        <v>111</v>
      </c>
      <c r="L26" s="69"/>
      <c r="M26" s="70"/>
      <c r="N26" s="70"/>
    </row>
    <row r="27" ht="43.5" customHeight="1">
      <c r="B27" s="52" t="s">
        <v>307</v>
      </c>
      <c r="C27" s="53" t="s">
        <v>72</v>
      </c>
      <c r="D27" s="53" t="s">
        <v>69</v>
      </c>
      <c r="E27" s="54" t="s">
        <v>308</v>
      </c>
      <c r="F27" s="54" t="s">
        <v>309</v>
      </c>
      <c r="G27" s="54" t="s">
        <v>310</v>
      </c>
      <c r="H27" s="54" t="s">
        <v>311</v>
      </c>
      <c r="I27" s="54" t="s">
        <v>312</v>
      </c>
      <c r="J27" s="54" t="s">
        <v>313</v>
      </c>
      <c r="K27" s="53" t="s">
        <v>111</v>
      </c>
      <c r="L27" s="59"/>
      <c r="M27" s="61"/>
      <c r="N27" s="61"/>
    </row>
    <row r="28" ht="43.5" customHeight="1">
      <c r="B28" s="72" t="s">
        <v>314</v>
      </c>
      <c r="C28" s="73" t="s">
        <v>44</v>
      </c>
      <c r="D28" s="73" t="s">
        <v>315</v>
      </c>
      <c r="E28" s="74" t="s">
        <v>316</v>
      </c>
      <c r="F28" s="74" t="s">
        <v>317</v>
      </c>
      <c r="G28" s="74" t="s">
        <v>318</v>
      </c>
      <c r="H28" s="74" t="s">
        <v>319</v>
      </c>
      <c r="I28" s="74" t="s">
        <v>320</v>
      </c>
      <c r="J28" s="74" t="s">
        <v>321</v>
      </c>
      <c r="K28" s="73" t="s">
        <v>111</v>
      </c>
      <c r="L28" s="75"/>
      <c r="M28" s="76"/>
      <c r="N28" s="76"/>
    </row>
  </sheetData>
  <mergeCells count="20">
    <mergeCell ref="B2:M2"/>
    <mergeCell ref="B3:C3"/>
    <mergeCell ref="D3:E3"/>
    <mergeCell ref="F3:G3"/>
    <mergeCell ref="H3:I3"/>
    <mergeCell ref="J3:K3"/>
    <mergeCell ref="L3:M3"/>
    <mergeCell ref="D5:E5"/>
    <mergeCell ref="F5:G5"/>
    <mergeCell ref="H5:I5"/>
    <mergeCell ref="J5:K5"/>
    <mergeCell ref="L8:N8"/>
    <mergeCell ref="B4:C4"/>
    <mergeCell ref="D4:E4"/>
    <mergeCell ref="F4:G4"/>
    <mergeCell ref="H4:I4"/>
    <mergeCell ref="J4:K4"/>
    <mergeCell ref="L4:M4"/>
    <mergeCell ref="B5:C5"/>
    <mergeCell ref="L5:M5"/>
  </mergeCells>
  <dataValidations>
    <dataValidation type="list" allowBlank="1" sqref="K9:K28">
      <formula1>"Passed,Failed,Untested,Blocked"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1.38"/>
    <col customWidth="1" min="3" max="3" width="22.63"/>
    <col customWidth="1" min="4" max="4" width="40.13"/>
    <col customWidth="1" min="5" max="5" width="37.63"/>
    <col customWidth="1" min="6" max="9" width="17.63"/>
  </cols>
  <sheetData>
    <row r="1" ht="18.0" customHeight="1"/>
    <row r="2" ht="30.0" customHeight="1">
      <c r="B2" s="2" t="s">
        <v>0</v>
      </c>
      <c r="C2" s="4"/>
      <c r="D2" s="4"/>
      <c r="E2" s="4"/>
      <c r="F2" s="4"/>
      <c r="G2" s="4"/>
      <c r="H2" s="4"/>
      <c r="I2" s="5"/>
    </row>
    <row r="3" ht="21.0" customHeight="1">
      <c r="B3" s="7" t="s">
        <v>3</v>
      </c>
      <c r="C3" s="8"/>
      <c r="D3" s="9" t="s">
        <v>6</v>
      </c>
      <c r="E3" s="8"/>
      <c r="F3" s="9" t="s">
        <v>9</v>
      </c>
      <c r="G3" s="8"/>
      <c r="H3" s="9" t="s">
        <v>11</v>
      </c>
      <c r="I3" s="10"/>
    </row>
    <row r="4" ht="27.0" customHeight="1">
      <c r="B4" s="12">
        <f>D4+F4+H4</f>
        <v>35</v>
      </c>
      <c r="C4" s="8"/>
      <c r="D4" s="14">
        <f>COUNTA(B12:B20)</f>
        <v>9</v>
      </c>
      <c r="E4" s="8"/>
      <c r="F4" s="14">
        <f>COUNTA(B23:B31)</f>
        <v>9</v>
      </c>
      <c r="G4" s="8"/>
      <c r="H4" s="14">
        <f>COUNTA(B34:B45)+COUNTA(B48:B52)</f>
        <v>17</v>
      </c>
      <c r="I4" s="10"/>
    </row>
    <row r="5" ht="18.0" customHeight="1">
      <c r="B5" s="15" t="s">
        <v>12</v>
      </c>
      <c r="C5" s="16"/>
      <c r="D5" s="17" t="s">
        <v>13</v>
      </c>
      <c r="E5" s="16"/>
      <c r="F5" s="17" t="s">
        <v>13</v>
      </c>
      <c r="G5" s="16"/>
      <c r="H5" s="19" t="s">
        <v>14</v>
      </c>
      <c r="I5" s="20"/>
    </row>
    <row r="7" ht="21.0" customHeight="1">
      <c r="B7" s="23" t="s">
        <v>16</v>
      </c>
      <c r="C7" s="24"/>
      <c r="D7" s="24"/>
      <c r="E7" s="24"/>
      <c r="F7" s="24"/>
      <c r="G7" s="25"/>
    </row>
    <row r="8" ht="24.0" customHeight="1">
      <c r="B8" s="26" t="s">
        <v>21</v>
      </c>
      <c r="C8" s="27" t="s">
        <v>22</v>
      </c>
      <c r="D8" s="28"/>
      <c r="E8" s="28"/>
      <c r="F8" s="28"/>
      <c r="G8" s="29"/>
    </row>
    <row r="9" ht="21.0" customHeight="1">
      <c r="B9" s="30" t="s">
        <v>23</v>
      </c>
      <c r="C9" s="31" t="s">
        <v>24</v>
      </c>
      <c r="D9" s="32"/>
      <c r="E9" s="32"/>
      <c r="F9" s="32"/>
      <c r="G9" s="33"/>
    </row>
    <row r="10" ht="21.0" customHeight="1">
      <c r="B10" s="34" t="s">
        <v>25</v>
      </c>
    </row>
    <row r="11">
      <c r="B11" s="35" t="s">
        <v>26</v>
      </c>
      <c r="C11" s="36" t="s">
        <v>27</v>
      </c>
      <c r="D11" s="36" t="s">
        <v>28</v>
      </c>
      <c r="E11" s="36" t="s">
        <v>29</v>
      </c>
      <c r="F11" s="37" t="s">
        <v>30</v>
      </c>
    </row>
    <row r="12">
      <c r="B12" s="38" t="s">
        <v>31</v>
      </c>
      <c r="C12" s="39" t="s">
        <v>32</v>
      </c>
      <c r="D12" s="39" t="s">
        <v>33</v>
      </c>
      <c r="E12" s="39" t="s">
        <v>34</v>
      </c>
      <c r="F12" s="41"/>
    </row>
    <row r="13">
      <c r="B13" s="42" t="s">
        <v>35</v>
      </c>
      <c r="C13" s="44" t="s">
        <v>37</v>
      </c>
      <c r="D13" s="44" t="s">
        <v>38</v>
      </c>
      <c r="E13" s="44" t="s">
        <v>39</v>
      </c>
      <c r="F13" s="41"/>
    </row>
    <row r="14">
      <c r="B14" s="38" t="s">
        <v>41</v>
      </c>
      <c r="C14" s="39" t="s">
        <v>42</v>
      </c>
      <c r="D14" s="39" t="s">
        <v>43</v>
      </c>
      <c r="E14" s="39" t="s">
        <v>44</v>
      </c>
      <c r="F14" s="41"/>
    </row>
    <row r="15">
      <c r="B15" s="42" t="s">
        <v>46</v>
      </c>
      <c r="C15" s="44" t="s">
        <v>47</v>
      </c>
      <c r="D15" s="44" t="s">
        <v>48</v>
      </c>
      <c r="E15" s="44" t="s">
        <v>44</v>
      </c>
      <c r="F15" s="41"/>
    </row>
    <row r="16">
      <c r="B16" s="38" t="s">
        <v>51</v>
      </c>
      <c r="C16" s="39" t="s">
        <v>52</v>
      </c>
      <c r="D16" s="39" t="s">
        <v>53</v>
      </c>
      <c r="E16" s="39" t="s">
        <v>44</v>
      </c>
      <c r="F16" s="41"/>
    </row>
    <row r="17">
      <c r="B17" s="42" t="s">
        <v>56</v>
      </c>
      <c r="C17" s="44" t="s">
        <v>57</v>
      </c>
      <c r="D17" s="44" t="s">
        <v>59</v>
      </c>
      <c r="E17" s="44" t="s">
        <v>60</v>
      </c>
      <c r="F17" s="41"/>
    </row>
    <row r="18">
      <c r="B18" s="38" t="s">
        <v>62</v>
      </c>
      <c r="C18" s="39" t="s">
        <v>63</v>
      </c>
      <c r="D18" s="39" t="s">
        <v>64</v>
      </c>
      <c r="E18" s="39" t="s">
        <v>65</v>
      </c>
      <c r="F18" s="41"/>
    </row>
    <row r="19">
      <c r="B19" s="42" t="s">
        <v>66</v>
      </c>
      <c r="C19" s="44" t="s">
        <v>67</v>
      </c>
      <c r="D19" s="44" t="s">
        <v>68</v>
      </c>
      <c r="E19" s="44" t="s">
        <v>39</v>
      </c>
      <c r="F19" s="41"/>
    </row>
    <row r="20">
      <c r="B20" s="47" t="s">
        <v>69</v>
      </c>
      <c r="C20" s="49" t="s">
        <v>70</v>
      </c>
      <c r="D20" s="49" t="s">
        <v>71</v>
      </c>
      <c r="E20" s="49" t="s">
        <v>72</v>
      </c>
      <c r="F20" s="51"/>
    </row>
    <row r="21" ht="21.0" customHeight="1">
      <c r="B21" s="34" t="s">
        <v>74</v>
      </c>
    </row>
    <row r="22">
      <c r="B22" s="35" t="s">
        <v>26</v>
      </c>
      <c r="C22" s="36" t="s">
        <v>75</v>
      </c>
      <c r="D22" s="36" t="s">
        <v>28</v>
      </c>
      <c r="E22" s="36" t="s">
        <v>29</v>
      </c>
      <c r="F22" s="37" t="s">
        <v>30</v>
      </c>
    </row>
    <row r="23">
      <c r="B23" s="38" t="s">
        <v>76</v>
      </c>
      <c r="C23" s="39" t="s">
        <v>78</v>
      </c>
      <c r="D23" s="39" t="s">
        <v>79</v>
      </c>
      <c r="E23" s="39" t="s">
        <v>39</v>
      </c>
      <c r="F23" s="41"/>
    </row>
    <row r="24">
      <c r="B24" s="42" t="s">
        <v>81</v>
      </c>
      <c r="C24" s="44" t="s">
        <v>82</v>
      </c>
      <c r="D24" s="44" t="s">
        <v>83</v>
      </c>
      <c r="E24" s="44" t="s">
        <v>39</v>
      </c>
      <c r="F24" s="41"/>
    </row>
    <row r="25">
      <c r="B25" s="38" t="s">
        <v>86</v>
      </c>
      <c r="C25" s="39" t="s">
        <v>87</v>
      </c>
      <c r="D25" s="39" t="s">
        <v>89</v>
      </c>
      <c r="E25" s="39" t="s">
        <v>90</v>
      </c>
      <c r="F25" s="41"/>
    </row>
    <row r="26">
      <c r="B26" s="42" t="s">
        <v>92</v>
      </c>
      <c r="C26" s="44" t="s">
        <v>93</v>
      </c>
      <c r="D26" s="44" t="s">
        <v>94</v>
      </c>
      <c r="E26" s="44" t="s">
        <v>34</v>
      </c>
      <c r="F26" s="41"/>
    </row>
    <row r="27">
      <c r="B27" s="38" t="s">
        <v>95</v>
      </c>
      <c r="C27" s="39" t="s">
        <v>96</v>
      </c>
      <c r="D27" s="39" t="s">
        <v>97</v>
      </c>
      <c r="E27" s="39" t="s">
        <v>39</v>
      </c>
      <c r="F27" s="41"/>
    </row>
    <row r="28">
      <c r="B28" s="42" t="s">
        <v>98</v>
      </c>
      <c r="C28" s="44" t="s">
        <v>99</v>
      </c>
      <c r="D28" s="44" t="s">
        <v>100</v>
      </c>
      <c r="E28" s="44" t="s">
        <v>39</v>
      </c>
      <c r="F28" s="41"/>
    </row>
    <row r="29">
      <c r="B29" s="38" t="s">
        <v>101</v>
      </c>
      <c r="C29" s="39" t="s">
        <v>102</v>
      </c>
      <c r="D29" s="39" t="s">
        <v>103</v>
      </c>
      <c r="E29" s="39" t="s">
        <v>44</v>
      </c>
      <c r="F29" s="41"/>
    </row>
    <row r="30">
      <c r="B30" s="42" t="s">
        <v>104</v>
      </c>
      <c r="C30" s="44" t="s">
        <v>105</v>
      </c>
      <c r="D30" s="44" t="s">
        <v>106</v>
      </c>
      <c r="E30" s="44" t="s">
        <v>60</v>
      </c>
      <c r="F30" s="41"/>
    </row>
    <row r="31">
      <c r="B31" s="47" t="s">
        <v>107</v>
      </c>
      <c r="C31" s="49" t="s">
        <v>108</v>
      </c>
      <c r="D31" s="49" t="s">
        <v>109</v>
      </c>
      <c r="E31" s="49" t="s">
        <v>110</v>
      </c>
      <c r="F31" s="51"/>
    </row>
    <row r="32" ht="21.0" customHeight="1">
      <c r="B32" s="34" t="s">
        <v>112</v>
      </c>
    </row>
    <row r="33" ht="24.0" customHeight="1">
      <c r="B33" s="56" t="s">
        <v>113</v>
      </c>
      <c r="C33" s="57" t="s">
        <v>114</v>
      </c>
      <c r="D33" s="57" t="s">
        <v>115</v>
      </c>
      <c r="E33" s="58" t="s">
        <v>116</v>
      </c>
    </row>
    <row r="34">
      <c r="B34" s="38" t="s">
        <v>117</v>
      </c>
      <c r="C34" s="39" t="s">
        <v>118</v>
      </c>
      <c r="D34" s="39" t="s">
        <v>119</v>
      </c>
      <c r="E34" s="60" t="s">
        <v>120</v>
      </c>
    </row>
    <row r="35">
      <c r="B35" s="42" t="s">
        <v>121</v>
      </c>
      <c r="C35" s="44" t="s">
        <v>122</v>
      </c>
      <c r="D35" s="44" t="s">
        <v>123</v>
      </c>
      <c r="E35" s="62" t="s">
        <v>124</v>
      </c>
    </row>
    <row r="36">
      <c r="B36" s="38" t="s">
        <v>125</v>
      </c>
      <c r="C36" s="39" t="s">
        <v>126</v>
      </c>
      <c r="D36" s="39" t="s">
        <v>127</v>
      </c>
      <c r="E36" s="60" t="s">
        <v>128</v>
      </c>
    </row>
    <row r="37">
      <c r="B37" s="42" t="s">
        <v>129</v>
      </c>
      <c r="C37" s="44" t="s">
        <v>130</v>
      </c>
      <c r="D37" s="44" t="s">
        <v>131</v>
      </c>
      <c r="E37" s="62" t="s">
        <v>132</v>
      </c>
    </row>
    <row r="38">
      <c r="B38" s="38" t="s">
        <v>133</v>
      </c>
      <c r="C38" s="39" t="s">
        <v>134</v>
      </c>
      <c r="D38" s="39" t="s">
        <v>135</v>
      </c>
      <c r="E38" s="60" t="s">
        <v>136</v>
      </c>
    </row>
    <row r="39">
      <c r="B39" s="42" t="s">
        <v>137</v>
      </c>
      <c r="C39" s="44" t="s">
        <v>138</v>
      </c>
      <c r="D39" s="44" t="s">
        <v>140</v>
      </c>
      <c r="E39" s="62" t="s">
        <v>141</v>
      </c>
    </row>
    <row r="40">
      <c r="B40" s="38" t="s">
        <v>142</v>
      </c>
      <c r="C40" s="39" t="s">
        <v>143</v>
      </c>
      <c r="D40" s="39" t="s">
        <v>144</v>
      </c>
      <c r="E40" s="60" t="s">
        <v>145</v>
      </c>
    </row>
    <row r="41">
      <c r="B41" s="42" t="s">
        <v>146</v>
      </c>
      <c r="C41" s="44" t="s">
        <v>147</v>
      </c>
      <c r="D41" s="44" t="s">
        <v>148</v>
      </c>
      <c r="E41" s="62" t="s">
        <v>149</v>
      </c>
    </row>
    <row r="42">
      <c r="B42" s="38" t="s">
        <v>150</v>
      </c>
      <c r="C42" s="39" t="s">
        <v>151</v>
      </c>
      <c r="D42" s="39" t="s">
        <v>152</v>
      </c>
      <c r="E42" s="60" t="s">
        <v>153</v>
      </c>
    </row>
    <row r="43">
      <c r="B43" s="42" t="s">
        <v>154</v>
      </c>
      <c r="C43" s="44" t="s">
        <v>156</v>
      </c>
      <c r="D43" s="44" t="s">
        <v>157</v>
      </c>
      <c r="E43" s="62" t="s">
        <v>158</v>
      </c>
    </row>
    <row r="44">
      <c r="B44" s="38" t="s">
        <v>159</v>
      </c>
      <c r="C44" s="39" t="s">
        <v>161</v>
      </c>
      <c r="D44" s="39" t="s">
        <v>162</v>
      </c>
      <c r="E44" s="60" t="s">
        <v>163</v>
      </c>
    </row>
    <row r="45">
      <c r="B45" s="66" t="s">
        <v>166</v>
      </c>
      <c r="C45" s="67" t="s">
        <v>169</v>
      </c>
      <c r="D45" s="67" t="s">
        <v>170</v>
      </c>
      <c r="E45" s="68" t="s">
        <v>171</v>
      </c>
    </row>
    <row r="46" ht="21.0" customHeight="1">
      <c r="B46" s="34" t="s">
        <v>172</v>
      </c>
    </row>
    <row r="47" ht="24.0" customHeight="1">
      <c r="B47" s="56" t="s">
        <v>173</v>
      </c>
      <c r="C47" s="57" t="s">
        <v>174</v>
      </c>
      <c r="D47" s="57" t="s">
        <v>175</v>
      </c>
      <c r="E47" s="58" t="s">
        <v>176</v>
      </c>
    </row>
    <row r="48">
      <c r="B48" s="38" t="s">
        <v>178</v>
      </c>
      <c r="C48" s="39" t="s">
        <v>179</v>
      </c>
      <c r="D48" s="39" t="s">
        <v>180</v>
      </c>
      <c r="E48" s="60" t="s">
        <v>181</v>
      </c>
    </row>
    <row r="49">
      <c r="B49" s="42" t="s">
        <v>182</v>
      </c>
      <c r="C49" s="44" t="s">
        <v>183</v>
      </c>
      <c r="D49" s="44" t="s">
        <v>185</v>
      </c>
      <c r="E49" s="62" t="s">
        <v>187</v>
      </c>
    </row>
    <row r="50">
      <c r="B50" s="38" t="s">
        <v>188</v>
      </c>
      <c r="C50" s="39" t="s">
        <v>190</v>
      </c>
      <c r="D50" s="39" t="s">
        <v>191</v>
      </c>
      <c r="E50" s="60" t="s">
        <v>193</v>
      </c>
    </row>
    <row r="51">
      <c r="B51" s="42" t="s">
        <v>194</v>
      </c>
      <c r="C51" s="44" t="s">
        <v>196</v>
      </c>
      <c r="D51" s="44" t="s">
        <v>198</v>
      </c>
      <c r="E51" s="62" t="s">
        <v>199</v>
      </c>
    </row>
    <row r="52">
      <c r="B52" s="47" t="s">
        <v>201</v>
      </c>
      <c r="C52" s="49" t="s">
        <v>202</v>
      </c>
      <c r="D52" s="49" t="s">
        <v>203</v>
      </c>
      <c r="E52" s="71" t="s">
        <v>204</v>
      </c>
    </row>
  </sheetData>
  <mergeCells count="20">
    <mergeCell ref="F4:G4"/>
    <mergeCell ref="H4:I4"/>
    <mergeCell ref="B2:I2"/>
    <mergeCell ref="B3:C3"/>
    <mergeCell ref="D3:E3"/>
    <mergeCell ref="F3:G3"/>
    <mergeCell ref="H3:I3"/>
    <mergeCell ref="B4:C4"/>
    <mergeCell ref="D4:E4"/>
    <mergeCell ref="B10:F10"/>
    <mergeCell ref="B21:F21"/>
    <mergeCell ref="B32:E32"/>
    <mergeCell ref="B46:E46"/>
    <mergeCell ref="B5:C5"/>
    <mergeCell ref="D5:E5"/>
    <mergeCell ref="F5:G5"/>
    <mergeCell ref="H5:I5"/>
    <mergeCell ref="B7:G7"/>
    <mergeCell ref="C8:G8"/>
    <mergeCell ref="C9:G9"/>
  </mergeCells>
  <drawing r:id="rId1"/>
</worksheet>
</file>